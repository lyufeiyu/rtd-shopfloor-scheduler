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邹艳\电镀计划\四川电镀计划\8月\"/>
    </mc:Choice>
  </mc:AlternateContent>
  <bookViews>
    <workbookView windowWidth="19200" windowHeight="6880" firstSheet="6" activeTab="6"/>
  </bookViews>
  <sheets>
    <sheet name="7-13" sheetId="1" state="hidden" r:id="rId1"/>
    <sheet name="7-14" sheetId="2" state="hidden" r:id="rId2"/>
    <sheet name="7-15" sheetId="4" state="hidden" r:id="rId3"/>
    <sheet name="7-16" sheetId="5" state="hidden" r:id="rId4"/>
    <sheet name="7-18" sheetId="6" state="hidden" r:id="rId5"/>
    <sheet name="8-3" sheetId="9" state="hidden" r:id="rId6"/>
    <sheet name="8-29" sheetId="11" r:id="rId7"/>
    <sheet name="Sheet2" sheetId="13" r:id="rId8"/>
    <sheet name="Sheet3" sheetId="14" r:id="rId9"/>
    <sheet name="Sheet1" sheetId="12" state="hidden" r:id="rId10"/>
    <sheet name="电镀样品8-5" sheetId="8" state="hidden" r:id="rId11"/>
  </sheets>
  <definedNames>
    <definedName name="_xlnm._FilterDatabase" localSheetId="5" hidden="1">'8-3'!$A$1:$F$4</definedName>
    <definedName name="_xlnm._FilterDatabase" localSheetId="6" hidden="1">'8-29'!$A$1:$F$2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99159</author>
  </authors>
  <commentList>
    <comment ref="B2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7万要测高温与常温，用长川1508A设备</t>
        </r>
      </text>
    </comment>
    <comment ref="B5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在线50万 需测高温，长川P1508A</t>
        </r>
      </text>
    </comment>
  </commentList>
</comments>
</file>

<file path=xl/sharedStrings.xml><?xml version="1.0" encoding="utf-8"?>
<sst xmlns="http://schemas.openxmlformats.org/spreadsheetml/2006/main" count="559" uniqueCount="342">
  <si>
    <r>
      <rPr>
        <b/>
        <sz val="25"/>
        <color theme="1"/>
        <rFont val="Arial"/>
        <charset val="134"/>
      </rPr>
      <t>7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13</t>
    </r>
    <r>
      <rPr>
        <b/>
        <sz val="25"/>
        <color theme="1"/>
        <rFont val="宋体"/>
        <charset val="134"/>
      </rPr>
      <t>号电镀加急产品明细</t>
    </r>
  </si>
  <si>
    <t>封装</t>
  </si>
  <si>
    <t>制造单号</t>
  </si>
  <si>
    <t>成品编码</t>
  </si>
  <si>
    <t>电镀数量</t>
  </si>
  <si>
    <t>完成时间</t>
  </si>
  <si>
    <t>TO-252</t>
  </si>
  <si>
    <t>HWE12H260774</t>
  </si>
  <si>
    <t>JT05N065RED/4755</t>
  </si>
  <si>
    <t>13号晚上20点前</t>
  </si>
  <si>
    <t>HWE12H260776</t>
  </si>
  <si>
    <t>HWE12H260799</t>
  </si>
  <si>
    <t>TO-220CB</t>
  </si>
  <si>
    <t>HWE37Q260784</t>
  </si>
  <si>
    <t>JCS88N75I/0172</t>
  </si>
  <si>
    <t>TO-263</t>
  </si>
  <si>
    <t>HWE22JB260036</t>
  </si>
  <si>
    <t>JT05N065SED/6334</t>
  </si>
  <si>
    <t>13号下午2点前</t>
  </si>
  <si>
    <t>HWE24JB260437</t>
  </si>
  <si>
    <t>CS1215M1H/4139</t>
  </si>
  <si>
    <t>HWE27JB260502</t>
  </si>
  <si>
    <t>JT010N065SED/4845</t>
  </si>
  <si>
    <t>TO-220C</t>
  </si>
  <si>
    <t>HWE54Q260786</t>
  </si>
  <si>
    <t>MC10N005/5051</t>
  </si>
  <si>
    <t>HWE24Q269991A</t>
  </si>
  <si>
    <r>
      <rPr>
        <sz val="15"/>
        <color rgb="FF000000"/>
        <rFont val="Arial"/>
        <charset val="134"/>
      </rPr>
      <t xml:space="preserve"> BT151/6573  (</t>
    </r>
    <r>
      <rPr>
        <sz val="15"/>
        <color rgb="FF000000"/>
        <rFont val="宋体"/>
        <charset val="134"/>
      </rPr>
      <t>华微特急，优先）</t>
    </r>
  </si>
  <si>
    <t>SLW32S260135</t>
  </si>
  <si>
    <t>SGTP40V65FD3PS/0463</t>
  </si>
  <si>
    <r>
      <rPr>
        <b/>
        <sz val="25"/>
        <color theme="1"/>
        <rFont val="Arial"/>
        <charset val="134"/>
      </rPr>
      <t>7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14</t>
    </r>
    <r>
      <rPr>
        <b/>
        <sz val="25"/>
        <color theme="1"/>
        <rFont val="宋体"/>
        <charset val="134"/>
      </rPr>
      <t>号电镀加急产品明细</t>
    </r>
  </si>
  <si>
    <t>HWE34H260839</t>
  </si>
  <si>
    <t>JCS60N10I/0223</t>
  </si>
  <si>
    <t>HWE34H260849</t>
  </si>
  <si>
    <t>HWE37Q260783</t>
  </si>
  <si>
    <t>JCS88N75I/5165</t>
  </si>
  <si>
    <t>TO-247S</t>
  </si>
  <si>
    <t>HWE21JB260469</t>
  </si>
  <si>
    <t>HBR10150S/0033</t>
  </si>
  <si>
    <t>合计</t>
  </si>
  <si>
    <r>
      <rPr>
        <b/>
        <sz val="25"/>
        <color theme="1"/>
        <rFont val="Arial"/>
        <charset val="134"/>
      </rPr>
      <t>7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15</t>
    </r>
    <r>
      <rPr>
        <b/>
        <sz val="25"/>
        <color theme="1"/>
        <rFont val="宋体"/>
        <charset val="134"/>
      </rPr>
      <t>号电镀加急产品明细</t>
    </r>
  </si>
  <si>
    <t>HWE12H260758</t>
  </si>
  <si>
    <t>15号晚上20点前</t>
  </si>
  <si>
    <t>220C</t>
  </si>
  <si>
    <t>HWE24Q269990A</t>
  </si>
  <si>
    <t>BT151/6573</t>
  </si>
  <si>
    <t xml:space="preserve"> BT151/6573  </t>
  </si>
  <si>
    <t>HWE45Q260891</t>
  </si>
  <si>
    <t>MT28N20A/0028</t>
  </si>
  <si>
    <t>HWE45Q260920</t>
  </si>
  <si>
    <t>HWE59P260046</t>
  </si>
  <si>
    <t>JT075N065WED/0210</t>
  </si>
  <si>
    <t>247S</t>
  </si>
  <si>
    <t>7.14号东锁回复15号早上出烘箱 ，到电镀了优先加急做，15号下午6点前完成电镀</t>
  </si>
  <si>
    <t>SLW32S260136</t>
  </si>
  <si>
    <r>
      <rPr>
        <b/>
        <sz val="25"/>
        <color theme="1"/>
        <rFont val="Arial"/>
        <charset val="134"/>
      </rPr>
      <t>7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16</t>
    </r>
    <r>
      <rPr>
        <b/>
        <sz val="25"/>
        <color theme="1"/>
        <rFont val="宋体"/>
        <charset val="134"/>
      </rPr>
      <t>号电镀加急产品明细</t>
    </r>
  </si>
  <si>
    <t>RUX46Q260944--RUX46Q260955</t>
  </si>
  <si>
    <t>SKD503T-12/0003</t>
  </si>
  <si>
    <t>7.17号安排润西微220CB, 客户要求20号交</t>
  </si>
  <si>
    <t>16号晚上20点前</t>
  </si>
  <si>
    <t>HWE12H260775</t>
  </si>
  <si>
    <t>HWE34H260838</t>
  </si>
  <si>
    <t>HWE24Q260921</t>
  </si>
  <si>
    <t>20F60C3/0371</t>
  </si>
  <si>
    <t>HWE34Q260919</t>
  </si>
  <si>
    <t>JCS60N10I/0153</t>
  </si>
  <si>
    <t>HWE37Q260889</t>
  </si>
  <si>
    <t>MC08N005/4710</t>
  </si>
  <si>
    <r>
      <rPr>
        <b/>
        <sz val="25"/>
        <color theme="1"/>
        <rFont val="Arial"/>
        <charset val="134"/>
      </rPr>
      <t>7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18</t>
    </r>
    <r>
      <rPr>
        <b/>
        <sz val="25"/>
        <color theme="1"/>
        <rFont val="宋体"/>
        <charset val="134"/>
      </rPr>
      <t>号电镀加急产品明细</t>
    </r>
  </si>
  <si>
    <t>马总回复7.20号开始电镀白班2条线，夜班1条线要开起来</t>
  </si>
  <si>
    <t>18号晚上20点前</t>
  </si>
  <si>
    <t>HWE37Q260697</t>
  </si>
  <si>
    <t>HWE37Q260864</t>
  </si>
  <si>
    <t>HWE47Q260887</t>
  </si>
  <si>
    <t>JCS120N10I/4907</t>
  </si>
  <si>
    <t>HWE34Q260117</t>
  </si>
  <si>
    <t>HWE61P269997A</t>
  </si>
  <si>
    <t>TT100U065FQ/0175</t>
  </si>
  <si>
    <t>HWE44P260066</t>
  </si>
  <si>
    <t>TT050U065FQ/0365</t>
  </si>
  <si>
    <t>HWE44P260067</t>
  </si>
  <si>
    <t>HWE44P260068</t>
  </si>
  <si>
    <r>
      <rPr>
        <b/>
        <sz val="15"/>
        <color rgb="FFFF0000"/>
        <rFont val="宋体"/>
        <charset val="134"/>
      </rPr>
      <t>20号早上</t>
    </r>
    <r>
      <rPr>
        <b/>
        <sz val="15"/>
        <color rgb="FFFF0000"/>
        <rFont val="Arial"/>
        <charset val="134"/>
      </rPr>
      <t>8</t>
    </r>
    <r>
      <rPr>
        <b/>
        <sz val="15"/>
        <color rgb="FFFF0000"/>
        <rFont val="宋体"/>
        <charset val="134"/>
      </rPr>
      <t>点前</t>
    </r>
  </si>
  <si>
    <t>HWE34H260851</t>
  </si>
  <si>
    <t>HWE12H260170</t>
  </si>
  <si>
    <t>HWE12H260171</t>
  </si>
  <si>
    <t>HWE12H260172</t>
  </si>
  <si>
    <t>HWE34H260177</t>
  </si>
  <si>
    <t>HWE21JB260470</t>
  </si>
  <si>
    <t>HWE28JB260554</t>
  </si>
  <si>
    <t>JT020N065SED/0384</t>
  </si>
  <si>
    <t>HWE22JB260034</t>
  </si>
  <si>
    <r>
      <rPr>
        <b/>
        <sz val="25"/>
        <color theme="1"/>
        <rFont val="Arial"/>
        <charset val="134"/>
      </rPr>
      <t>8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3</t>
    </r>
    <r>
      <rPr>
        <b/>
        <sz val="25"/>
        <color theme="1"/>
        <rFont val="宋体"/>
        <charset val="134"/>
      </rPr>
      <t>号电镀加急产品明细</t>
    </r>
  </si>
  <si>
    <t>回复进度</t>
  </si>
  <si>
    <t>8.3晚上7：00确认进度</t>
  </si>
  <si>
    <t>220CB</t>
  </si>
  <si>
    <t>RUX39Q260977</t>
  </si>
  <si>
    <r>
      <rPr>
        <sz val="15"/>
        <rFont val="Arial"/>
        <charset val="134"/>
      </rPr>
      <t>SKD502T-12/0004(</t>
    </r>
    <r>
      <rPr>
        <sz val="15"/>
        <rFont val="宋体"/>
        <charset val="134"/>
      </rPr>
      <t>特急，</t>
    </r>
    <r>
      <rPr>
        <sz val="15"/>
        <rFont val="Arial"/>
        <charset val="134"/>
      </rPr>
      <t>11</t>
    </r>
    <r>
      <rPr>
        <sz val="15"/>
        <rFont val="宋体"/>
        <charset val="134"/>
      </rPr>
      <t>号锁单异常</t>
    </r>
    <r>
      <rPr>
        <sz val="15"/>
        <rFont val="Arial"/>
        <charset val="134"/>
      </rPr>
      <t>5.7</t>
    </r>
    <r>
      <rPr>
        <sz val="15"/>
        <rFont val="宋体"/>
        <charset val="134"/>
      </rPr>
      <t>天）</t>
    </r>
  </si>
  <si>
    <t>3833</t>
  </si>
  <si>
    <t>8.1号回复散热片漏铜，确认是否返工</t>
  </si>
  <si>
    <t>未完成</t>
  </si>
  <si>
    <t>DHA40Q260040</t>
  </si>
  <si>
    <r>
      <rPr>
        <sz val="15"/>
        <rFont val="Arial"/>
        <charset val="134"/>
      </rPr>
      <t>DSG054N10N3/0137</t>
    </r>
    <r>
      <rPr>
        <sz val="15"/>
        <rFont val="宋体"/>
        <charset val="134"/>
      </rPr>
      <t>（</t>
    </r>
    <r>
      <rPr>
        <sz val="15"/>
        <rFont val="Arial"/>
        <charset val="134"/>
      </rPr>
      <t>8#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30</t>
    </r>
    <r>
      <rPr>
        <sz val="15"/>
        <rFont val="宋体"/>
        <charset val="134"/>
      </rPr>
      <t>天）</t>
    </r>
  </si>
  <si>
    <t>3840</t>
  </si>
  <si>
    <t>8.1号回复没有找到此单</t>
  </si>
  <si>
    <t>HWE54Q260151</t>
  </si>
  <si>
    <r>
      <rPr>
        <sz val="15"/>
        <rFont val="Arial"/>
        <charset val="134"/>
      </rPr>
      <t>MC10N005/5051</t>
    </r>
    <r>
      <rPr>
        <sz val="15"/>
        <rFont val="宋体"/>
        <charset val="134"/>
      </rPr>
      <t>（</t>
    </r>
    <r>
      <rPr>
        <sz val="15"/>
        <rFont val="Arial"/>
        <charset val="134"/>
      </rPr>
      <t>2#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3.3</t>
    </r>
    <r>
      <rPr>
        <sz val="15"/>
        <rFont val="宋体"/>
        <charset val="134"/>
      </rPr>
      <t>天）</t>
    </r>
  </si>
  <si>
    <t>995</t>
  </si>
  <si>
    <r>
      <rPr>
        <sz val="15"/>
        <rFont val="Arial"/>
        <charset val="134"/>
      </rPr>
      <t>JCS60N10I/0153</t>
    </r>
    <r>
      <rPr>
        <sz val="15"/>
        <rFont val="宋体"/>
        <charset val="134"/>
      </rPr>
      <t>（</t>
    </r>
    <r>
      <rPr>
        <sz val="15"/>
        <rFont val="Arial"/>
        <charset val="134"/>
      </rPr>
      <t>25#</t>
    </r>
    <r>
      <rPr>
        <sz val="15"/>
        <rFont val="宋体"/>
        <charset val="134"/>
      </rPr>
      <t>单滞留</t>
    </r>
    <r>
      <rPr>
        <sz val="15"/>
        <rFont val="Arial"/>
        <charset val="134"/>
      </rPr>
      <t>3</t>
    </r>
    <r>
      <rPr>
        <sz val="15"/>
        <rFont val="宋体"/>
        <charset val="134"/>
      </rPr>
      <t>天）</t>
    </r>
  </si>
  <si>
    <t>HWE46Q260109</t>
  </si>
  <si>
    <r>
      <rPr>
        <sz val="15"/>
        <rFont val="Arial"/>
        <charset val="134"/>
      </rPr>
      <t>JCS3205CH/4491</t>
    </r>
    <r>
      <rPr>
        <sz val="15"/>
        <rFont val="宋体"/>
        <charset val="134"/>
      </rPr>
      <t>（特急，</t>
    </r>
    <r>
      <rPr>
        <sz val="15"/>
        <rFont val="Arial"/>
        <charset val="134"/>
      </rPr>
      <t>25#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3</t>
    </r>
    <r>
      <rPr>
        <sz val="15"/>
        <rFont val="宋体"/>
        <charset val="134"/>
      </rPr>
      <t>天）</t>
    </r>
  </si>
  <si>
    <t>3828</t>
  </si>
  <si>
    <t>SLW33Q260800</t>
  </si>
  <si>
    <r>
      <rPr>
        <sz val="15"/>
        <rFont val="Arial"/>
        <charset val="134"/>
      </rPr>
      <t>SVT033R5NT/6862</t>
    </r>
    <r>
      <rPr>
        <sz val="15"/>
        <rFont val="宋体"/>
        <charset val="134"/>
      </rPr>
      <t>（深圳系统，16号单滞留</t>
    </r>
    <r>
      <rPr>
        <sz val="15"/>
        <rFont val="Arial"/>
        <charset val="134"/>
      </rPr>
      <t>7</t>
    </r>
    <r>
      <rPr>
        <sz val="15"/>
        <rFont val="宋体"/>
        <charset val="134"/>
      </rPr>
      <t>天）</t>
    </r>
  </si>
  <si>
    <t>SLW32Q260931</t>
  </si>
  <si>
    <r>
      <rPr>
        <sz val="15"/>
        <rFont val="Arial"/>
        <charset val="134"/>
      </rPr>
      <t>SVG086R0NT/0552(</t>
    </r>
    <r>
      <rPr>
        <sz val="15"/>
        <rFont val="宋体"/>
        <charset val="134"/>
      </rPr>
      <t>深圳系统，</t>
    </r>
    <r>
      <rPr>
        <sz val="15"/>
        <rFont val="Arial"/>
        <charset val="134"/>
      </rPr>
      <t>1</t>
    </r>
    <r>
      <rPr>
        <sz val="15"/>
        <rFont val="宋体"/>
        <charset val="134"/>
      </rPr>
      <t>个</t>
    </r>
    <r>
      <rPr>
        <sz val="15"/>
        <rFont val="Arial"/>
        <charset val="134"/>
      </rPr>
      <t>6</t>
    </r>
    <r>
      <rPr>
        <sz val="15"/>
        <rFont val="宋体"/>
        <charset val="134"/>
      </rPr>
      <t>号单，滞留</t>
    </r>
    <r>
      <rPr>
        <sz val="15"/>
        <rFont val="Arial"/>
        <charset val="134"/>
      </rPr>
      <t>6</t>
    </r>
    <r>
      <rPr>
        <sz val="15"/>
        <rFont val="宋体"/>
        <charset val="134"/>
      </rPr>
      <t>天）</t>
    </r>
  </si>
  <si>
    <t>SLW32Q260932</t>
  </si>
  <si>
    <r>
      <rPr>
        <sz val="15"/>
        <rFont val="Arial"/>
        <charset val="134"/>
      </rPr>
      <t>SVG086R0NT/0552</t>
    </r>
    <r>
      <rPr>
        <sz val="15"/>
        <rFont val="宋体"/>
        <charset val="134"/>
      </rPr>
      <t>（</t>
    </r>
    <r>
      <rPr>
        <sz val="15"/>
        <rFont val="Arial"/>
        <charset val="134"/>
      </rPr>
      <t>3#</t>
    </r>
    <r>
      <rPr>
        <sz val="15"/>
        <rFont val="宋体"/>
        <charset val="134"/>
      </rPr>
      <t>单</t>
    </r>
    <r>
      <rPr>
        <sz val="15"/>
        <rFont val="Arial"/>
        <charset val="134"/>
      </rPr>
      <t xml:space="preserve"> 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7</t>
    </r>
    <r>
      <rPr>
        <sz val="15"/>
        <rFont val="宋体"/>
        <charset val="134"/>
      </rPr>
      <t>天）</t>
    </r>
  </si>
  <si>
    <t>SLW46Q260860</t>
  </si>
  <si>
    <r>
      <rPr>
        <sz val="15"/>
        <rFont val="Arial"/>
        <charset val="134"/>
      </rPr>
      <t>SVG104R0NT/0302</t>
    </r>
    <r>
      <rPr>
        <sz val="15"/>
        <rFont val="宋体"/>
        <charset val="134"/>
      </rPr>
      <t>（</t>
    </r>
    <r>
      <rPr>
        <sz val="15"/>
        <rFont val="Arial"/>
        <charset val="134"/>
      </rPr>
      <t>17#</t>
    </r>
    <r>
      <rPr>
        <sz val="15"/>
        <rFont val="宋体"/>
        <charset val="134"/>
      </rPr>
      <t>单</t>
    </r>
    <r>
      <rPr>
        <sz val="15"/>
        <rFont val="Arial"/>
        <charset val="134"/>
      </rPr>
      <t xml:space="preserve"> 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6</t>
    </r>
    <r>
      <rPr>
        <sz val="15"/>
        <rFont val="宋体"/>
        <charset val="134"/>
      </rPr>
      <t>天）</t>
    </r>
  </si>
  <si>
    <t>SLW46Q260903</t>
  </si>
  <si>
    <r>
      <rPr>
        <sz val="15"/>
        <rFont val="Arial"/>
        <charset val="134"/>
      </rPr>
      <t>SVG104R0NT/0302</t>
    </r>
    <r>
      <rPr>
        <sz val="15"/>
        <rFont val="宋体"/>
        <charset val="134"/>
      </rPr>
      <t>（</t>
    </r>
    <r>
      <rPr>
        <sz val="15"/>
        <rFont val="Arial"/>
        <charset val="134"/>
      </rPr>
      <t>14#</t>
    </r>
    <r>
      <rPr>
        <sz val="15"/>
        <rFont val="宋体"/>
        <charset val="134"/>
      </rPr>
      <t>单</t>
    </r>
    <r>
      <rPr>
        <sz val="15"/>
        <rFont val="Arial"/>
        <charset val="134"/>
      </rPr>
      <t xml:space="preserve"> </t>
    </r>
    <r>
      <rPr>
        <sz val="15"/>
        <rFont val="宋体"/>
        <charset val="134"/>
      </rPr>
      <t>滞留</t>
    </r>
    <r>
      <rPr>
        <sz val="15"/>
        <rFont val="Arial"/>
        <charset val="134"/>
      </rPr>
      <t>5.7</t>
    </r>
    <r>
      <rPr>
        <sz val="15"/>
        <rFont val="宋体"/>
        <charset val="134"/>
      </rPr>
      <t>天）</t>
    </r>
  </si>
  <si>
    <t>SLW46Q260904</t>
  </si>
  <si>
    <r>
      <rPr>
        <sz val="15"/>
        <rFont val="Arial"/>
        <charset val="134"/>
      </rPr>
      <t>SVG104R0NT/0302</t>
    </r>
    <r>
      <rPr>
        <sz val="15"/>
        <rFont val="宋体"/>
        <charset val="134"/>
      </rPr>
      <t>（</t>
    </r>
    <r>
      <rPr>
        <sz val="15"/>
        <rFont val="Arial"/>
        <charset val="134"/>
      </rPr>
      <t>6#/16#</t>
    </r>
    <r>
      <rPr>
        <sz val="15"/>
        <rFont val="宋体"/>
        <charset val="134"/>
      </rPr>
      <t>两个单滞留</t>
    </r>
    <r>
      <rPr>
        <sz val="15"/>
        <rFont val="Arial"/>
        <charset val="134"/>
      </rPr>
      <t>2-7</t>
    </r>
    <r>
      <rPr>
        <sz val="15"/>
        <rFont val="宋体"/>
        <charset val="134"/>
      </rPr>
      <t>天）</t>
    </r>
  </si>
  <si>
    <t>SLW45Q260962</t>
  </si>
  <si>
    <r>
      <rPr>
        <sz val="15"/>
        <rFont val="Arial"/>
        <charset val="134"/>
      </rPr>
      <t>SVG104R5NT/6843</t>
    </r>
    <r>
      <rPr>
        <sz val="15"/>
        <rFont val="宋体"/>
        <charset val="134"/>
      </rPr>
      <t>（</t>
    </r>
    <r>
      <rPr>
        <sz val="15"/>
        <rFont val="Arial"/>
        <charset val="134"/>
      </rPr>
      <t>9#/14#</t>
    </r>
    <r>
      <rPr>
        <sz val="15"/>
        <rFont val="宋体"/>
        <charset val="134"/>
      </rPr>
      <t>两个单滞留</t>
    </r>
    <r>
      <rPr>
        <sz val="15"/>
        <rFont val="Arial"/>
        <charset val="134"/>
      </rPr>
      <t>7</t>
    </r>
    <r>
      <rPr>
        <sz val="15"/>
        <rFont val="宋体"/>
        <charset val="134"/>
      </rPr>
      <t>天）</t>
    </r>
  </si>
  <si>
    <t>SLW46Q260905</t>
  </si>
  <si>
    <r>
      <rPr>
        <sz val="15"/>
        <rFont val="Arial"/>
        <charset val="134"/>
      </rPr>
      <t>SVG104R0NT/0302</t>
    </r>
    <r>
      <rPr>
        <sz val="15"/>
        <rFont val="宋体"/>
        <charset val="134"/>
      </rPr>
      <t>（</t>
    </r>
    <r>
      <rPr>
        <sz val="15"/>
        <rFont val="Arial"/>
        <charset val="134"/>
      </rPr>
      <t xml:space="preserve">2#/18#/23# </t>
    </r>
    <r>
      <rPr>
        <sz val="15"/>
        <rFont val="宋体"/>
        <charset val="134"/>
      </rPr>
      <t>三个单滞留</t>
    </r>
    <r>
      <rPr>
        <sz val="15"/>
        <rFont val="Arial"/>
        <charset val="134"/>
      </rPr>
      <t>5-12</t>
    </r>
    <r>
      <rPr>
        <sz val="15"/>
        <rFont val="宋体"/>
        <charset val="134"/>
      </rPr>
      <t>天）</t>
    </r>
  </si>
  <si>
    <r>
      <rPr>
        <sz val="15"/>
        <rFont val="Arial"/>
        <charset val="134"/>
      </rPr>
      <t>SVT033R5NT/6862(16#</t>
    </r>
    <r>
      <rPr>
        <sz val="15"/>
        <rFont val="宋体"/>
        <charset val="134"/>
      </rPr>
      <t>单滞留</t>
    </r>
    <r>
      <rPr>
        <sz val="15"/>
        <rFont val="Arial"/>
        <charset val="134"/>
      </rPr>
      <t>7</t>
    </r>
    <r>
      <rPr>
        <sz val="15"/>
        <rFont val="宋体"/>
        <charset val="134"/>
      </rPr>
      <t>天）</t>
    </r>
  </si>
  <si>
    <t>220F</t>
  </si>
  <si>
    <t>SLW33F261215</t>
  </si>
  <si>
    <r>
      <rPr>
        <sz val="15"/>
        <rFont val="Arial"/>
        <charset val="134"/>
      </rPr>
      <t>SVS7N70F/0120</t>
    </r>
    <r>
      <rPr>
        <sz val="15"/>
        <rFont val="宋体"/>
        <charset val="134"/>
      </rPr>
      <t>（特急深圳系统，</t>
    </r>
    <r>
      <rPr>
        <sz val="15"/>
        <rFont val="Arial"/>
        <charset val="134"/>
      </rPr>
      <t>16/17/18</t>
    </r>
    <r>
      <rPr>
        <sz val="15"/>
        <rFont val="宋体"/>
        <charset val="134"/>
      </rPr>
      <t>共</t>
    </r>
    <r>
      <rPr>
        <sz val="15"/>
        <rFont val="Arial"/>
        <charset val="134"/>
      </rPr>
      <t>3</t>
    </r>
    <r>
      <rPr>
        <sz val="15"/>
        <rFont val="宋体"/>
        <charset val="134"/>
      </rPr>
      <t>个单治理</t>
    </r>
    <r>
      <rPr>
        <sz val="15"/>
        <rFont val="Arial"/>
        <charset val="134"/>
      </rPr>
      <t>4.8</t>
    </r>
    <r>
      <rPr>
        <sz val="15"/>
        <rFont val="宋体"/>
        <charset val="134"/>
      </rPr>
      <t>天）</t>
    </r>
  </si>
  <si>
    <t>7710</t>
  </si>
  <si>
    <t>SLW24F260244</t>
  </si>
  <si>
    <r>
      <rPr>
        <sz val="15"/>
        <rFont val="Arial"/>
        <charset val="134"/>
      </rPr>
      <t>SVF4N65F/6809</t>
    </r>
    <r>
      <rPr>
        <sz val="15"/>
        <rFont val="宋体"/>
        <charset val="134"/>
      </rPr>
      <t>（四川系统，</t>
    </r>
    <r>
      <rPr>
        <sz val="15"/>
        <rFont val="Arial"/>
        <charset val="134"/>
      </rPr>
      <t>TUBE2</t>
    </r>
    <r>
      <rPr>
        <sz val="15"/>
        <rFont val="宋体"/>
        <charset val="134"/>
      </rPr>
      <t>管条，</t>
    </r>
    <r>
      <rPr>
        <sz val="15"/>
        <rFont val="Arial"/>
        <charset val="134"/>
      </rPr>
      <t>10</t>
    </r>
    <r>
      <rPr>
        <sz val="15"/>
        <rFont val="宋体"/>
        <charset val="134"/>
      </rPr>
      <t>号单在</t>
    </r>
    <r>
      <rPr>
        <sz val="15"/>
        <rFont val="Arial"/>
        <charset val="134"/>
      </rPr>
      <t>OVEN5</t>
    </r>
    <r>
      <rPr>
        <sz val="15"/>
        <rFont val="宋体"/>
        <charset val="134"/>
      </rPr>
      <t>工位滞留</t>
    </r>
    <r>
      <rPr>
        <sz val="15"/>
        <rFont val="Arial"/>
        <charset val="134"/>
      </rPr>
      <t>9</t>
    </r>
    <r>
      <rPr>
        <sz val="15"/>
        <rFont val="宋体"/>
        <charset val="134"/>
      </rPr>
      <t>天）</t>
    </r>
  </si>
  <si>
    <t>2878</t>
  </si>
  <si>
    <t>SLW24F261082</t>
  </si>
  <si>
    <r>
      <rPr>
        <sz val="15"/>
        <rFont val="Arial"/>
        <charset val="134"/>
      </rPr>
      <t>SVF4N65F/0164</t>
    </r>
    <r>
      <rPr>
        <sz val="15"/>
        <rFont val="宋体"/>
        <charset val="134"/>
      </rPr>
      <t>（</t>
    </r>
    <r>
      <rPr>
        <sz val="15"/>
        <rFont val="Arial"/>
        <charset val="134"/>
      </rPr>
      <t>5#</t>
    </r>
    <r>
      <rPr>
        <sz val="15"/>
        <rFont val="宋体"/>
        <charset val="134"/>
      </rPr>
      <t>单滞留</t>
    </r>
    <r>
      <rPr>
        <sz val="15"/>
        <rFont val="Arial"/>
        <charset val="134"/>
      </rPr>
      <t>6</t>
    </r>
    <r>
      <rPr>
        <sz val="15"/>
        <rFont val="宋体"/>
        <charset val="134"/>
      </rPr>
      <t>天）</t>
    </r>
  </si>
  <si>
    <t>2880</t>
  </si>
  <si>
    <t>SLW45F261292</t>
  </si>
  <si>
    <r>
      <rPr>
        <sz val="15"/>
        <rFont val="Arial"/>
        <charset val="134"/>
      </rPr>
      <t>SVF12N60F/3887</t>
    </r>
    <r>
      <rPr>
        <sz val="15"/>
        <rFont val="宋体"/>
        <charset val="134"/>
      </rPr>
      <t>（</t>
    </r>
    <r>
      <rPr>
        <sz val="15"/>
        <rFont val="Arial"/>
        <charset val="134"/>
      </rPr>
      <t>2#/3#/5#/7#</t>
    </r>
    <r>
      <rPr>
        <sz val="15"/>
        <rFont val="宋体"/>
        <charset val="134"/>
      </rPr>
      <t>共</t>
    </r>
    <r>
      <rPr>
        <sz val="15"/>
        <rFont val="Arial"/>
        <charset val="134"/>
      </rPr>
      <t>4</t>
    </r>
    <r>
      <rPr>
        <sz val="15"/>
        <rFont val="宋体"/>
        <charset val="134"/>
      </rPr>
      <t>个单滞留</t>
    </r>
    <r>
      <rPr>
        <sz val="15"/>
        <rFont val="Arial"/>
        <charset val="134"/>
      </rPr>
      <t>3</t>
    </r>
    <r>
      <rPr>
        <sz val="15"/>
        <rFont val="宋体"/>
        <charset val="134"/>
      </rPr>
      <t>天）</t>
    </r>
  </si>
  <si>
    <t>8825</t>
  </si>
  <si>
    <t>SLW45F261288</t>
  </si>
  <si>
    <r>
      <rPr>
        <sz val="15"/>
        <rFont val="Arial"/>
        <charset val="134"/>
      </rPr>
      <t>SVF13N50F/0369</t>
    </r>
    <r>
      <rPr>
        <sz val="15"/>
        <rFont val="宋体"/>
        <charset val="134"/>
      </rPr>
      <t>（</t>
    </r>
    <r>
      <rPr>
        <sz val="15"/>
        <rFont val="Arial"/>
        <charset val="134"/>
      </rPr>
      <t>2#/4#/6#/7#</t>
    </r>
    <r>
      <rPr>
        <sz val="15"/>
        <rFont val="宋体"/>
        <charset val="134"/>
      </rPr>
      <t>共</t>
    </r>
    <r>
      <rPr>
        <sz val="15"/>
        <rFont val="Arial"/>
        <charset val="134"/>
      </rPr>
      <t>4</t>
    </r>
    <r>
      <rPr>
        <sz val="15"/>
        <rFont val="宋体"/>
        <charset val="134"/>
      </rPr>
      <t>个单滞留</t>
    </r>
    <r>
      <rPr>
        <sz val="15"/>
        <rFont val="Arial"/>
        <charset val="134"/>
      </rPr>
      <t>4</t>
    </r>
    <r>
      <rPr>
        <sz val="15"/>
        <rFont val="宋体"/>
        <charset val="134"/>
      </rPr>
      <t>天）</t>
    </r>
  </si>
  <si>
    <t>9782</t>
  </si>
  <si>
    <t>SLW24F261081</t>
  </si>
  <si>
    <r>
      <rPr>
        <sz val="15"/>
        <rFont val="Arial"/>
        <charset val="134"/>
      </rPr>
      <t>SVF4N65F/0164</t>
    </r>
    <r>
      <rPr>
        <sz val="15"/>
        <rFont val="宋体"/>
        <charset val="134"/>
      </rPr>
      <t>（</t>
    </r>
    <r>
      <rPr>
        <sz val="15"/>
        <rFont val="Arial"/>
        <charset val="134"/>
      </rPr>
      <t>4#/11#/13#</t>
    </r>
    <r>
      <rPr>
        <sz val="15"/>
        <rFont val="宋体"/>
        <charset val="134"/>
      </rPr>
      <t>共</t>
    </r>
    <r>
      <rPr>
        <sz val="15"/>
        <rFont val="Arial"/>
        <charset val="134"/>
      </rPr>
      <t>3</t>
    </r>
    <r>
      <rPr>
        <sz val="15"/>
        <rFont val="宋体"/>
        <charset val="134"/>
      </rPr>
      <t>个单滞留</t>
    </r>
    <r>
      <rPr>
        <sz val="15"/>
        <rFont val="Arial"/>
        <charset val="134"/>
      </rPr>
      <t>5-12</t>
    </r>
    <r>
      <rPr>
        <sz val="15"/>
        <rFont val="宋体"/>
        <charset val="134"/>
      </rPr>
      <t>天）</t>
    </r>
  </si>
  <si>
    <t>8106</t>
  </si>
  <si>
    <t>HWE24Q269986A</t>
  </si>
  <si>
    <t>46011</t>
  </si>
  <si>
    <t>HWE46Q260146</t>
  </si>
  <si>
    <t>JCS3205CH/4491</t>
  </si>
  <si>
    <t>HWE34Q260147</t>
  </si>
  <si>
    <t>JCS60N10I/4772</t>
  </si>
  <si>
    <t>RUX39Q260983</t>
  </si>
  <si>
    <t>SKD502T-12/0004</t>
  </si>
  <si>
    <t>RUX39Q260984</t>
  </si>
  <si>
    <t>RUX39Q260985</t>
  </si>
  <si>
    <t>RUX39Q260987</t>
  </si>
  <si>
    <t>SLW31Q260667</t>
  </si>
  <si>
    <t>SVG086R0NT/0214</t>
  </si>
  <si>
    <t>SLW31Q260685</t>
  </si>
  <si>
    <t>SLW46Q260862</t>
  </si>
  <si>
    <t>SVG104R0NT/0302</t>
  </si>
  <si>
    <t>SLW46Q260878</t>
  </si>
  <si>
    <t>SLW46Q260902</t>
  </si>
  <si>
    <t>SLW46Q260958</t>
  </si>
  <si>
    <t>SLW45Q260960</t>
  </si>
  <si>
    <t>SVG104R5NT/6843</t>
  </si>
  <si>
    <t>SLW45Q260961</t>
  </si>
  <si>
    <t>YJE40Q260908</t>
  </si>
  <si>
    <t>YJP200G06B-B1-W5038HF/4428</t>
  </si>
  <si>
    <t>YJE40Q260909</t>
  </si>
  <si>
    <t>HWE17JB260077</t>
  </si>
  <si>
    <t>10F80SS3/6114</t>
  </si>
  <si>
    <t>HWE24JB260083</t>
  </si>
  <si>
    <t>BT151/6335</t>
  </si>
  <si>
    <t>HWE28JB269999A</t>
  </si>
  <si>
    <t>CS1615M1A/0290</t>
  </si>
  <si>
    <t>HWE21JB260128</t>
  </si>
  <si>
    <t>HBR10200S/0032</t>
  </si>
  <si>
    <t>TO-220FJ</t>
  </si>
  <si>
    <t>SLW49F260108</t>
  </si>
  <si>
    <t>SVF14N65CFJ/6981</t>
  </si>
  <si>
    <t>SLW38F260226</t>
  </si>
  <si>
    <t>SVS11N60FJD2/6855</t>
  </si>
  <si>
    <t>SLW40F260106</t>
  </si>
  <si>
    <t>SVS14N60FJD2/0036</t>
  </si>
  <si>
    <t>HWE28P260070</t>
  </si>
  <si>
    <t>JT020N065WED/6466</t>
  </si>
  <si>
    <t>HWE59P260047</t>
  </si>
  <si>
    <t>HWE56P260074</t>
  </si>
  <si>
    <t>TT075N065EQ/6203</t>
  </si>
  <si>
    <r>
      <t>8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29</t>
    </r>
    <r>
      <rPr>
        <b/>
        <sz val="25"/>
        <color theme="1"/>
        <rFont val="宋体"/>
        <charset val="134"/>
      </rPr>
      <t>号电镀加急产品明细</t>
    </r>
  </si>
  <si>
    <t>30号8：30点回复进度</t>
  </si>
  <si>
    <t>247-2L</t>
  </si>
  <si>
    <t>YJE94R260093</t>
  </si>
  <si>
    <t>60EPS16-B1-W5038HF/0331（深圳系统特急，此批在四川生产，5个单，29号下午6点前必须做完流切筋）</t>
  </si>
  <si>
    <t>5977</t>
  </si>
  <si>
    <r>
      <t>8-29</t>
    </r>
    <r>
      <rPr>
        <sz val="14"/>
        <color rgb="FFFF0000"/>
        <rFont val="宋体"/>
        <charset val="134"/>
      </rPr>
      <t>号晚上</t>
    </r>
    <r>
      <rPr>
        <sz val="14"/>
        <color rgb="FFFF0000"/>
        <rFont val="Arial"/>
        <charset val="134"/>
      </rPr>
      <t>20</t>
    </r>
    <r>
      <rPr>
        <sz val="14"/>
        <color rgb="FFFF0000"/>
        <rFont val="宋体"/>
        <charset val="134"/>
      </rPr>
      <t>点前</t>
    </r>
  </si>
  <si>
    <t>HWE55R26A0127</t>
  </si>
  <si>
    <r>
      <t>60F60WT/6311(</t>
    </r>
    <r>
      <rPr>
        <sz val="14"/>
        <color rgb="FFFF0000"/>
        <rFont val="宋体"/>
        <charset val="134"/>
      </rPr>
      <t>华微特急）</t>
    </r>
  </si>
  <si>
    <t>SLW24F26A0404</t>
  </si>
  <si>
    <t>SVF4N60CAFJ/6980（士兰加急）</t>
  </si>
  <si>
    <t>247</t>
  </si>
  <si>
    <t>HWE44P261343</t>
  </si>
  <si>
    <t>HWE44P26A1089</t>
  </si>
  <si>
    <t>HWE54P260790</t>
  </si>
  <si>
    <t>TT075U065FQ/0072</t>
  </si>
  <si>
    <t>HWE54P260791</t>
  </si>
  <si>
    <t>HWE62P26A1084</t>
  </si>
  <si>
    <t>TT040K120EQ/6286</t>
  </si>
  <si>
    <t>HWE63P26A1083</t>
  </si>
  <si>
    <t>JCS20N60WH/0107</t>
  </si>
  <si>
    <t>HWE63P26A1115</t>
  </si>
  <si>
    <t>HWE30P26A1132</t>
  </si>
  <si>
    <r>
      <rPr>
        <sz val="14"/>
        <color rgb="FFFF0000"/>
        <rFont val="Arial"/>
        <charset val="134"/>
      </rPr>
      <t>60F60W3T/5576(</t>
    </r>
    <r>
      <rPr>
        <sz val="14"/>
        <color rgb="FFFF0000"/>
        <rFont val="宋体"/>
        <charset val="134"/>
      </rPr>
      <t>华微特急）</t>
    </r>
  </si>
  <si>
    <t>252</t>
  </si>
  <si>
    <t>HWE12H26A0338</t>
  </si>
  <si>
    <r>
      <t>JT05N065RAD/4756(</t>
    </r>
    <r>
      <rPr>
        <sz val="14"/>
        <color rgb="FFFF0000"/>
        <rFont val="宋体"/>
        <charset val="134"/>
      </rPr>
      <t>华微特急）</t>
    </r>
  </si>
  <si>
    <t>HWE24H26A0339</t>
  </si>
  <si>
    <r>
      <t>BT151/6056</t>
    </r>
    <r>
      <rPr>
        <sz val="14"/>
        <color rgb="FFFF0000"/>
        <rFont val="宋体"/>
        <charset val="134"/>
      </rPr>
      <t>（华微特急，</t>
    </r>
    <r>
      <rPr>
        <sz val="14"/>
        <color rgb="FFFF0000"/>
        <rFont val="Arial"/>
        <charset val="134"/>
      </rPr>
      <t>3#/4#</t>
    </r>
    <r>
      <rPr>
        <sz val="14"/>
        <color rgb="FFFF0000"/>
        <rFont val="宋体"/>
        <charset val="134"/>
      </rPr>
      <t>两个单滞留</t>
    </r>
    <r>
      <rPr>
        <sz val="14"/>
        <color rgb="FFFF0000"/>
        <rFont val="Arial"/>
        <charset val="134"/>
      </rPr>
      <t>5</t>
    </r>
    <r>
      <rPr>
        <sz val="14"/>
        <color rgb="FFFF0000"/>
        <rFont val="宋体"/>
        <charset val="134"/>
      </rPr>
      <t>天）</t>
    </r>
  </si>
  <si>
    <t>HWE24H26A0342</t>
  </si>
  <si>
    <r>
      <t>BT151/6056</t>
    </r>
    <r>
      <rPr>
        <sz val="14"/>
        <color rgb="FFFF0000"/>
        <rFont val="宋体"/>
        <charset val="134"/>
      </rPr>
      <t>（华微特急，</t>
    </r>
    <r>
      <rPr>
        <sz val="14"/>
        <color rgb="FFFF0000"/>
        <rFont val="Arial"/>
        <charset val="134"/>
      </rPr>
      <t>1</t>
    </r>
    <r>
      <rPr>
        <sz val="14"/>
        <color rgb="FFFF0000"/>
        <rFont val="宋体"/>
        <charset val="134"/>
      </rPr>
      <t>个单，</t>
    </r>
    <r>
      <rPr>
        <sz val="14"/>
        <color rgb="FFFF0000"/>
        <rFont val="Arial"/>
        <charset val="134"/>
      </rPr>
      <t>29</t>
    </r>
    <r>
      <rPr>
        <sz val="14"/>
        <color rgb="FFFF0000"/>
        <rFont val="宋体"/>
        <charset val="134"/>
      </rPr>
      <t>号下午</t>
    </r>
    <r>
      <rPr>
        <sz val="14"/>
        <color rgb="FFFF0000"/>
        <rFont val="Arial"/>
        <charset val="134"/>
      </rPr>
      <t>6</t>
    </r>
    <r>
      <rPr>
        <sz val="14"/>
        <color rgb="FFFF0000"/>
        <rFont val="宋体"/>
        <charset val="134"/>
      </rPr>
      <t>点前必须完成）</t>
    </r>
  </si>
  <si>
    <t>HWE34H26A0343</t>
  </si>
  <si>
    <t>263</t>
  </si>
  <si>
    <t>HWE21JB26A0212</t>
  </si>
  <si>
    <t>HWE24JB26A0191</t>
  </si>
  <si>
    <t>HWE24JB26A0196</t>
  </si>
  <si>
    <t>HWE27JB26A0193</t>
  </si>
  <si>
    <t>HWE28JB26A0195</t>
  </si>
  <si>
    <t>HWE36JB26A0202</t>
  </si>
  <si>
    <t>CS1210N3A/0215</t>
  </si>
  <si>
    <t>HWE24Q269984A</t>
  </si>
  <si>
    <t>BT151/4112</t>
  </si>
  <si>
    <t>HWE24Q26A0316</t>
  </si>
  <si>
    <t>CS1215M1H/6647</t>
  </si>
  <si>
    <t>HWE27Q26A0315</t>
  </si>
  <si>
    <t>JT010N065CED/0220</t>
  </si>
  <si>
    <t>HWE34Q26A0323</t>
  </si>
  <si>
    <t>HWE37Q26A0319</t>
  </si>
  <si>
    <t>HWE37Q26A0320</t>
  </si>
  <si>
    <t>HWE46Q260235</t>
  </si>
  <si>
    <t>SCRUX39Q26A0344</t>
  </si>
  <si>
    <r>
      <t>8-30</t>
    </r>
    <r>
      <rPr>
        <sz val="14"/>
        <rFont val="宋体"/>
        <charset val="134"/>
      </rPr>
      <t>号早上</t>
    </r>
    <r>
      <rPr>
        <sz val="14"/>
        <rFont val="Arial"/>
        <charset val="134"/>
      </rPr>
      <t>8</t>
    </r>
    <r>
      <rPr>
        <sz val="14"/>
        <rFont val="宋体"/>
        <charset val="134"/>
      </rPr>
      <t>点前</t>
    </r>
  </si>
  <si>
    <t>SCRUX39Q26A0345</t>
  </si>
  <si>
    <t>SCRUX39Q26A0367</t>
  </si>
  <si>
    <t>SCRUX39Q26A0373</t>
  </si>
  <si>
    <t>RUX46Q26A0294</t>
  </si>
  <si>
    <t>RUX46Q26A0295</t>
  </si>
  <si>
    <t>RUX46Q26A0297</t>
  </si>
  <si>
    <t>RUX46Q26A0300</t>
  </si>
  <si>
    <t>RUX46Q26A0301</t>
  </si>
  <si>
    <t>RUX46Q26A0303</t>
  </si>
  <si>
    <t>SLW31Q260087</t>
  </si>
  <si>
    <t>SLW31Q260092</t>
  </si>
  <si>
    <t>SCSLW45Q26A0351</t>
  </si>
  <si>
    <t>SCSLW45Q26A0352</t>
  </si>
  <si>
    <t>SCSLW33Q26A0354</t>
  </si>
  <si>
    <t>SVT033R5NT/6862</t>
  </si>
  <si>
    <t>SCSLW33Q26A0355</t>
  </si>
  <si>
    <t>SCSLW28Q26A0378</t>
  </si>
  <si>
    <t>SVT078R0NT/6820</t>
  </si>
  <si>
    <t>YJE40Q260259</t>
  </si>
  <si>
    <t>YJP200G06A-B1-W5038HF/4676</t>
  </si>
  <si>
    <t>MCC25F26A0386</t>
  </si>
  <si>
    <t>MBR20100FCTS-B1-D6089HF/0001</t>
  </si>
  <si>
    <t>SLW27F260284</t>
  </si>
  <si>
    <t>STS65R360FS2/6934</t>
  </si>
  <si>
    <t>SLW27F26A0406</t>
  </si>
  <si>
    <t>SLW27F26A0407</t>
  </si>
  <si>
    <t>SLW27F26A0408</t>
  </si>
  <si>
    <t>SLW42F260292</t>
  </si>
  <si>
    <t>SVF10N65F/4040</t>
  </si>
  <si>
    <t>SLW42F260297</t>
  </si>
  <si>
    <t>SLW42F26A0351</t>
  </si>
  <si>
    <t>SCSLW45F26A0465</t>
  </si>
  <si>
    <t>SVF13N50F/0369</t>
  </si>
  <si>
    <t>SCSLW45F26A0467</t>
  </si>
  <si>
    <t>SCSLW45F26A0536</t>
  </si>
  <si>
    <t>SCSLW45F26A0537</t>
  </si>
  <si>
    <t>SCSLW45F26A0539</t>
  </si>
  <si>
    <t>SLW45F26A0359</t>
  </si>
  <si>
    <t>SLW19F26A0358</t>
  </si>
  <si>
    <t>SVF2N60CF/5722</t>
  </si>
  <si>
    <t>SLW19F26A0462</t>
  </si>
  <si>
    <t>SLW19F26A0463</t>
  </si>
  <si>
    <t>SLW41F260281</t>
  </si>
  <si>
    <t>SVF7N65F/4304</t>
  </si>
  <si>
    <t>WF</t>
  </si>
  <si>
    <t>NT</t>
  </si>
  <si>
    <t>WM</t>
  </si>
  <si>
    <t>DS</t>
  </si>
  <si>
    <t>DB1</t>
  </si>
  <si>
    <t>DB2</t>
  </si>
  <si>
    <t>WB1</t>
  </si>
  <si>
    <t>WB2</t>
  </si>
  <si>
    <t>QC</t>
  </si>
  <si>
    <t>SC</t>
  </si>
  <si>
    <t>MD</t>
  </si>
  <si>
    <t>OVEN1</t>
  </si>
  <si>
    <t>OVEN3</t>
  </si>
  <si>
    <t>TP</t>
  </si>
  <si>
    <t>OVEN2</t>
  </si>
  <si>
    <t>CP</t>
  </si>
  <si>
    <t>TS</t>
  </si>
  <si>
    <t>VI</t>
  </si>
  <si>
    <t>PKG</t>
  </si>
  <si>
    <t>测试良率</t>
  </si>
  <si>
    <t>SLW50P261215</t>
  </si>
  <si>
    <t>SGT50T65SDM1P7/0579</t>
  </si>
  <si>
    <t>SLW50P261236</t>
  </si>
  <si>
    <t>--%</t>
  </si>
  <si>
    <t>SLW50P261237</t>
  </si>
  <si>
    <t>SLW50P261298</t>
  </si>
  <si>
    <t>SGT50T65SDM1P7/0586</t>
  </si>
  <si>
    <t>SLW50P261299</t>
  </si>
  <si>
    <t>SLW50P261300</t>
  </si>
  <si>
    <t>SLW50P261301</t>
  </si>
  <si>
    <t>SLW50P261302</t>
  </si>
  <si>
    <t>SLW50P261303</t>
  </si>
  <si>
    <t>SLW50P261304</t>
  </si>
  <si>
    <t>SLW50P261305</t>
  </si>
  <si>
    <t>SLW50P261306</t>
  </si>
  <si>
    <t>SLW50P261307</t>
  </si>
  <si>
    <t>SLW50P261308</t>
  </si>
  <si>
    <t>SLW50P261309</t>
  </si>
  <si>
    <r>
      <rPr>
        <b/>
        <sz val="25"/>
        <color theme="1"/>
        <rFont val="Arial"/>
        <charset val="134"/>
      </rPr>
      <t>8</t>
    </r>
    <r>
      <rPr>
        <b/>
        <sz val="25"/>
        <color theme="1"/>
        <rFont val="宋体"/>
        <charset val="134"/>
      </rPr>
      <t>月</t>
    </r>
    <r>
      <rPr>
        <b/>
        <sz val="25"/>
        <color theme="1"/>
        <rFont val="Arial"/>
        <charset val="134"/>
      </rPr>
      <t>20</t>
    </r>
    <r>
      <rPr>
        <b/>
        <sz val="25"/>
        <color theme="1"/>
        <rFont val="宋体"/>
        <charset val="134"/>
      </rPr>
      <t>号电镀加急产品明细</t>
    </r>
  </si>
  <si>
    <t>22号8：30点回复进度</t>
  </si>
  <si>
    <t>用前台扫描系统，点开始就行了扫描的图处在188网盘里，Scan文件夹</t>
  </si>
  <si>
    <t>3*3封装的8.12号张副总通知“暂时还是电镀完发，什么时候发未电镀的等我通知”8.12号备注</t>
  </si>
  <si>
    <t>251切筋机在深圳</t>
  </si>
  <si>
    <t>TO-251</t>
  </si>
  <si>
    <t>SYT20T260019</t>
  </si>
  <si>
    <t>SRC65R600SD1-G/0232(尚阳通深圳系统，此批在深圳做到切筋切完后再发四川测试）因251切筋机在深圳</t>
  </si>
  <si>
    <t>华微高温247</t>
  </si>
  <si>
    <t>TT075U065FQ/0072（8.8号交2.9万上海）四川只做到塑封后固化后就要发回深圳</t>
  </si>
  <si>
    <t>TT075U065FQ/0072（8.10号交10万上海）四川只做到塑封后固化后就要发回深圳</t>
  </si>
  <si>
    <t>HWE44P260823</t>
  </si>
  <si>
    <t>TT050U065FQ/0029（8月22号交2.7万上海）四川只做到塑封后固化后就要发回深圳</t>
  </si>
  <si>
    <t>HWE28P260071</t>
  </si>
  <si>
    <t xml:space="preserve"> JT020N065WED/6466（DB工位的货罗回复19号清完前面的，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</si>
</sst>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name val="宋体"/>
      <charset val="134"/>
      <scheme val="minor"/>
    </font>
    <font>
      <b/>
      <sz val="25"/>
      <color theme="1"/>
      <name val="Arial"/>
      <charset val="134"/>
    </font>
    <font>
      <b/>
      <sz val="25"/>
      <name val="Arial"/>
      <charset val="134"/>
    </font>
    <font>
      <b/>
      <sz val="14"/>
      <name val="宋体"/>
      <charset val="134"/>
    </font>
    <font>
      <b/>
      <sz val="13"/>
      <name val="宋体"/>
      <charset val="134"/>
    </font>
    <font>
      <b/>
      <sz val="14"/>
      <color rgb="FFFF0000"/>
      <name val="宋体"/>
      <charset val="134"/>
    </font>
    <font>
      <sz val="12"/>
      <color theme="1"/>
      <name val="宋体"/>
      <charset val="134"/>
      <scheme val="minor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4"/>
      <color rgb="FFFF0000"/>
      <name val="Arial"/>
      <charset val="134"/>
    </font>
    <font>
      <sz val="13"/>
      <color rgb="FFFF0000"/>
      <name val="Arial"/>
      <charset val="134"/>
    </font>
    <font>
      <sz val="14"/>
      <name val="Arial"/>
      <charset val="134"/>
    </font>
    <font>
      <b/>
      <sz val="20"/>
      <color theme="1"/>
      <name val="宋体"/>
      <charset val="134"/>
      <scheme val="minor"/>
    </font>
    <font>
      <sz val="15"/>
      <color theme="1"/>
      <name val="Arial"/>
      <charset val="134"/>
    </font>
    <font>
      <sz val="15"/>
      <name val="Arial"/>
      <charset val="134"/>
    </font>
    <font>
      <sz val="25"/>
      <name val="宋体"/>
      <charset val="134"/>
      <scheme val="minor"/>
    </font>
    <font>
      <sz val="15"/>
      <color rgb="FFFF0000"/>
      <name val="Arial"/>
      <charset val="134"/>
    </font>
    <font>
      <b/>
      <sz val="15"/>
      <color rgb="FFFF0000"/>
      <name val="宋体"/>
      <charset val="134"/>
    </font>
    <font>
      <b/>
      <sz val="15"/>
      <color rgb="FFFF0000"/>
      <name val="Arial"/>
      <charset val="134"/>
    </font>
    <font>
      <sz val="15"/>
      <color rgb="FF000000"/>
      <name val="Arial"/>
      <charset val="134"/>
    </font>
    <font>
      <b/>
      <sz val="15"/>
      <color rgb="FF000000"/>
      <name val="宋体"/>
      <charset val="134"/>
    </font>
    <font>
      <b/>
      <sz val="1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name val="宋体"/>
      <charset val="134"/>
    </font>
    <font>
      <b/>
      <sz val="25"/>
      <color theme="1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5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16" applyNumberFormat="0" applyAlignment="0" applyProtection="0">
      <alignment vertical="center"/>
    </xf>
    <xf numFmtId="0" fontId="33" fillId="8" borderId="17" applyNumberFormat="0" applyAlignment="0" applyProtection="0">
      <alignment vertical="center"/>
    </xf>
    <xf numFmtId="0" fontId="34" fillId="8" borderId="16" applyNumberFormat="0" applyAlignment="0" applyProtection="0">
      <alignment vertical="center"/>
    </xf>
    <xf numFmtId="0" fontId="35" fillId="9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58" fontId="0" fillId="0" borderId="3" xfId="0" applyNumberForma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/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49" fontId="9" fillId="0" borderId="11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49" fontId="12" fillId="0" borderId="10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13" fillId="0" borderId="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49" fontId="7" fillId="0" borderId="3" xfId="0" applyNumberFormat="1" applyFont="1" applyFill="1" applyBorder="1" applyAlignment="1">
      <alignment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vertical="center"/>
    </xf>
    <xf numFmtId="0" fontId="15" fillId="0" borderId="9" xfId="0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15" fillId="0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8" fillId="0" borderId="12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4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0" fillId="0" borderId="3" xfId="0" applyNumberFormat="1" applyFont="1" applyFill="1" applyBorder="1" applyAlignment="1">
      <alignment horizontal="center" vertical="center"/>
    </xf>
    <xf numFmtId="0" fontId="16" fillId="2" borderId="10" xfId="0" applyNumberFormat="1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0" fontId="21" fillId="0" borderId="3" xfId="0" applyNumberFormat="1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right" vertical="center"/>
    </xf>
    <xf numFmtId="0" fontId="23" fillId="0" borderId="3" xfId="0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5" borderId="3" xfId="0" applyNumberFormat="1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49" fontId="7" fillId="0" borderId="11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  <color rgb="00FBB1D9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571500</xdr:colOff>
      <xdr:row>9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05900" cy="168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/small/html/aps/orderschedule2/process_plan/TO-220C%28%E5%85%89%E9%9D%A2%29/order_code/HWE34Q260147/start_date/2026-07-09+18%3A49%3A26/end_date/2026-07-24+18%3A49%3A26/disable/1" TargetMode="External"/><Relationship Id="rId8" Type="http://schemas.openxmlformats.org/officeDocument/2006/relationships/hyperlink" Target="/small/html/aps/orderschedule2/process_plan/TO-220C%28%E5%85%89%E9%9D%A2%29/order_code/HWE46Q260146/start_date/2026-07-15+15%3A32%3A24/end_date/2026-07-30+15%3A32%3A24/disable/1" TargetMode="External"/><Relationship Id="rId7" Type="http://schemas.openxmlformats.org/officeDocument/2006/relationships/hyperlink" Target="/small/html/aps/orderschedule2/process_plan/TO-220C%28%E5%85%89%E9%9D%A2%29/order_code/HWE24Q269986A/start_date/2026-07-10+09%3A26%3A33/end_date/2026-07-25+09%3A26%3A33/disable/1" TargetMode="External"/><Relationship Id="rId6" Type="http://schemas.openxmlformats.org/officeDocument/2006/relationships/hyperlink" Target="/small/html/report/wippihaolot/process_plan/TO-220C%28%E5%85%89%E9%9D%A2%29/step_num/1330/order_code/HWE34Q260147/disable/1" TargetMode="External"/><Relationship Id="rId5" Type="http://schemas.openxmlformats.org/officeDocument/2006/relationships/hyperlink" Target="/small/html/report/wippihaolot/process_plan/TO-220C%28%E5%85%89%E9%9D%A2%29/step_num/1330/order_code/HWE46Q260146/disable/1" TargetMode="External"/><Relationship Id="rId4" Type="http://schemas.openxmlformats.org/officeDocument/2006/relationships/hyperlink" Target="/small/html/report/wippihaolot/process_plan/TO-220C%28%E5%85%89%E9%9D%A2%29/step_num/1330/order_code/HWE24Q269986A/disable/1" TargetMode="External"/><Relationship Id="rId3" Type="http://schemas.openxmlformats.org/officeDocument/2006/relationships/hyperlink" Target="/small/html/aps/orderschedule2/process_plan/TO-220C%28%E5%85%89%E9%9D%A2%29/order_code/HWE46Q260109/start_date/2026-07-08+08%3A09%3A04/end_date/2026-07-23+08%3A09%3A04/disable/1" TargetMode="External"/><Relationship Id="rId29" Type="http://schemas.openxmlformats.org/officeDocument/2006/relationships/hyperlink" Target="/small/html/aps/orderschedule2/process_plan/TO-247%28IGBT%29/order_code/HWE56P260074/start_date/2026-07-08+11%3A50%3A02/end_date/2026-07-23+11%3A50%3A02/disable/1" TargetMode="External"/><Relationship Id="rId28" Type="http://schemas.openxmlformats.org/officeDocument/2006/relationships/hyperlink" Target="/small/html/aps/orderschedule2/process_plan/TO-247%28IGBT%29/order_code/HWE59P260047/start_date/2026-06-23+14%3A44%3A52/end_date/2026-07-08+14%3A44%3A52/disable/1" TargetMode="External"/><Relationship Id="rId27" Type="http://schemas.openxmlformats.org/officeDocument/2006/relationships/hyperlink" Target="/small/html/aps/orderschedule2/process_plan/TO-247%28IGBT%29/order_code/HWE28P260070/start_date/2026-07-07+10%3A24%3A27/end_date/2026-07-22+10%3A24%3A27/disable/1" TargetMode="External"/><Relationship Id="rId26" Type="http://schemas.openxmlformats.org/officeDocument/2006/relationships/hyperlink" Target="/small/html/report/wippihaolot/process_plan/TO-247%28IGBT%29/step_num/2110/order_code/HWE56P260074/disable/1" TargetMode="External"/><Relationship Id="rId25" Type="http://schemas.openxmlformats.org/officeDocument/2006/relationships/hyperlink" Target="/small/html/report/wippihaolot/process_plan/TO-247%28IGBT%29/step_num/2110/order_code/HWE59P260047/disable/1" TargetMode="External"/><Relationship Id="rId24" Type="http://schemas.openxmlformats.org/officeDocument/2006/relationships/hyperlink" Target="/small/html/report/wippihaolot/process_plan/TO-247%28IGBT%29/step_num/2110/order_code/HWE28P260070/disable/1" TargetMode="External"/><Relationship Id="rId23" Type="http://schemas.openxmlformats.org/officeDocument/2006/relationships/hyperlink" Target="/small/html/aps/orderschedule2/process_plan/TO-220FJ%28%E6%AF%9B%E9%9D%A2%29/order_code/SLW40F260106/start_date/2026-07-02+14%3A06%3A58/end_date/2026-07-17+14%3A06%3A58/disable/1" TargetMode="External"/><Relationship Id="rId22" Type="http://schemas.openxmlformats.org/officeDocument/2006/relationships/hyperlink" Target="/small/html/aps/orderschedule2/process_plan/TO-220FJ%28%E6%AF%9B%E9%9D%A2%29/order_code/SLW38F260226/start_date/2026-07-11+14%3A09%3A45/end_date/2026-07-26+14%3A09%3A45/disable/1" TargetMode="External"/><Relationship Id="rId21" Type="http://schemas.openxmlformats.org/officeDocument/2006/relationships/hyperlink" Target="/small/html/aps/orderschedule2/process_plan/TO-220FJ%28%E6%AF%9B%E9%9D%A2%29/order_code/SLW49F260108/start_date/2026-07-02+14%3A06%3A57/end_date/2026-07-17+14%3A06%3A57/disable/1" TargetMode="External"/><Relationship Id="rId20" Type="http://schemas.openxmlformats.org/officeDocument/2006/relationships/hyperlink" Target="/small/html/report/wippihaolot/process_plan/TO-220FJ%28%E6%AF%9B%E9%9D%A2%29/step_num/4620/order_code/SLW40F260106/disable/1" TargetMode="External"/><Relationship Id="rId2" Type="http://schemas.openxmlformats.org/officeDocument/2006/relationships/hyperlink" Target="/small/html/aps/orderschedule2/process_plan/TO-220C%28%E5%85%89%E9%9D%A2%29/order_code/HWE54Q260151/start_date/2026-07-09+15%3A51%3A55/end_date/2026-07-24+15%3A51%3A55/disable/1" TargetMode="External"/><Relationship Id="rId19" Type="http://schemas.openxmlformats.org/officeDocument/2006/relationships/hyperlink" Target="/small/html/report/wippihaolot/process_plan/TO-220FJ%28%E6%AF%9B%E9%9D%A2%29/step_num/4620/order_code/SLW38F260226/disable/1" TargetMode="External"/><Relationship Id="rId18" Type="http://schemas.openxmlformats.org/officeDocument/2006/relationships/hyperlink" Target="/small/html/report/wippihaolot/process_plan/TO-220FJ%28%E6%AF%9B%E9%9D%A2%29/step_num/4620/order_code/SLW49F260108/disable/1" TargetMode="External"/><Relationship Id="rId17" Type="http://schemas.openxmlformats.org/officeDocument/2006/relationships/hyperlink" Target="/small/html/aps/orderschedule2/process_plan/TO-263%28%E6%AF%9B%E9%9D%A2-260%E2%84%83%E5%9B%9E%E6%B5%81%E7%84%8A%29/order_code/HWE21JB260128/start_date/2026-07-10+18%3A16%3A45/end_date/2026-07-25+18%3A16%3A45/disable/1" TargetMode="External"/><Relationship Id="rId16" Type="http://schemas.openxmlformats.org/officeDocument/2006/relationships/hyperlink" Target="/small/html/aps/orderschedule2/process_plan/TO-263%28%E6%AF%9B%E9%9D%A2-260%E2%84%83%E5%9B%9E%E6%B5%81%E7%84%8A%29/order_code/HWE28JB269999A/start_date/2026-07-06+10%3A05%3A53/end_date/2026-07-21+10%3A05%3A53/disable/1" TargetMode="External"/><Relationship Id="rId15" Type="http://schemas.openxmlformats.org/officeDocument/2006/relationships/hyperlink" Target="/small/html/aps/orderschedule2/process_plan/TO-263%28%E6%AF%9B%E9%9D%A2-260%E2%84%83%E5%9B%9E%E6%B5%81%E7%84%8A%29/order_code/HWE24JB260083/start_date/2026-07-04+15%3A24%3A06/end_date/2026-07-19+15%3A24%3A06/disable/1" TargetMode="External"/><Relationship Id="rId14" Type="http://schemas.openxmlformats.org/officeDocument/2006/relationships/hyperlink" Target="/small/html/aps/orderschedule2/process_plan/TO-263%28%E6%AF%9B%E9%9D%A2-260%E2%84%83%E5%9B%9E%E6%B5%81%E7%84%8A%29/order_code/HWE17JB260077/start_date/2026-07-14+16%3A43%3A30/end_date/2026-07-29+16%3A43%3A30/disable/1" TargetMode="External"/><Relationship Id="rId13" Type="http://schemas.openxmlformats.org/officeDocument/2006/relationships/hyperlink" Target="/small/html/report/wippihaolot/process_plan/TO-263%28%E6%AF%9B%E9%9D%A2-260%E2%84%83%E5%9B%9E%E6%B5%81%E7%84%8A%29/step_num/1710/order_code/HWE21JB260128/disable/1" TargetMode="External"/><Relationship Id="rId12" Type="http://schemas.openxmlformats.org/officeDocument/2006/relationships/hyperlink" Target="/small/html/report/wippihaolot/process_plan/TO-263%28%E6%AF%9B%E9%9D%A2-260%E2%84%83%E5%9B%9E%E6%B5%81%E7%84%8A%29/step_num/1710/order_code/HWE28JB269999A/disable/1" TargetMode="External"/><Relationship Id="rId11" Type="http://schemas.openxmlformats.org/officeDocument/2006/relationships/hyperlink" Target="/small/html/report/wippihaolot/process_plan/TO-263%28%E6%AF%9B%E9%9D%A2-260%E2%84%83%E5%9B%9E%E6%B5%81%E7%84%8A%29/step_num/1710/order_code/HWE24JB260083/disable/1" TargetMode="External"/><Relationship Id="rId10" Type="http://schemas.openxmlformats.org/officeDocument/2006/relationships/hyperlink" Target="/small/html/report/wippihaolot/process_plan/TO-263%28%E6%AF%9B%E9%9D%A2-260%E2%84%83%E5%9B%9E%E6%B5%81%E7%84%8A%29/step_num/1710/order_code/HWE17JB260077/disable/1" TargetMode="External"/><Relationship Id="rId1" Type="http://schemas.openxmlformats.org/officeDocument/2006/relationships/hyperlink" Target="/small/html/aps/orderschedule2/process_plan/TO-220C%28%E5%85%89%E9%9D%A2%29/order_code/HWE34Q260117/start_date/2026-06-30+11%3A30%3A04/end_date/2026-07-15+11%3A30%3A04/disable/1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/small/html/report/wippihaolot/process_plan/TO-220CB%28%E6%AF%9B%E9%9D%A2%29/step_num/320/order_code/SCRUX39Q26A0345/disable/1" TargetMode="External"/><Relationship Id="rId8" Type="http://schemas.openxmlformats.org/officeDocument/2006/relationships/hyperlink" Target="/small/html/report/wippihaolot/process_plan/TO-220CB%28%E6%AF%9B%E9%9D%A2%29/step_num/320/order_code/SCRUX39Q26A0344/disable/1" TargetMode="External"/><Relationship Id="rId76" Type="http://schemas.openxmlformats.org/officeDocument/2006/relationships/hyperlink" Target="/small/html/aps/orderschedule2/process_plan/TO-220F%28%E6%AF%9B%E9%9D%A2%29/order_code/SLW41F260281/start_date/2026-07-18+18%3A42%3A52/end_date/2026-08-02+18%3A42%3A52/disable/1" TargetMode="External"/><Relationship Id="rId75" Type="http://schemas.openxmlformats.org/officeDocument/2006/relationships/hyperlink" Target="/small/html/aps/orderschedule2/process_plan/TO-220F%28%E6%AF%9B%E9%9D%A2%29/order_code/SLW19F26A0463/start_date/2026-08-07+18%3A29%3A43/end_date/2026-08-22+18%3A29%3A43/disable/1" TargetMode="External"/><Relationship Id="rId74" Type="http://schemas.openxmlformats.org/officeDocument/2006/relationships/hyperlink" Target="/small/html/aps/orderschedule2/process_plan/TO-220F%28%E6%AF%9B%E9%9D%A2%29/order_code/SLW19F26A0462/start_date/2026-08-07+18%3A29%3A43/end_date/2026-08-22+18%3A29%3A43/disable/1" TargetMode="External"/><Relationship Id="rId73" Type="http://schemas.openxmlformats.org/officeDocument/2006/relationships/hyperlink" Target="/small/html/aps/orderschedule2/process_plan/TO-220F%28%E6%AF%9B%E9%9D%A2%29/order_code/SLW19F26A0358/start_date/2026-07-25+15%3A45%3A16/end_date/2026-08-09+15%3A45%3A16/disable/1" TargetMode="External"/><Relationship Id="rId72" Type="http://schemas.openxmlformats.org/officeDocument/2006/relationships/hyperlink" Target="/small/html/aps/orderschedule2/process_plan/TO-220F%28%E6%AF%9B%E9%9D%A2%29/order_code/SLW45F26A0359/start_date/2026-07-25+15%3A45%3A21/end_date/2026-08-09+15%3A45%3A21/disable/1" TargetMode="External"/><Relationship Id="rId71" Type="http://schemas.openxmlformats.org/officeDocument/2006/relationships/hyperlink" Target="/small/html/aps/orderschedule2/process_plan/TO-220F%28%E6%AF%9B%E9%9D%A2%29/order_code/SCSLW45F26A0539/start_date/2026-08-20+17%3A40%3A22/end_date/2026-09-04+17%3A40%3A22/disable/1" TargetMode="External"/><Relationship Id="rId70" Type="http://schemas.openxmlformats.org/officeDocument/2006/relationships/hyperlink" Target="/small/html/aps/orderschedule2/process_plan/TO-220F%28%E6%AF%9B%E9%9D%A2%29/order_code/SCSLW45F26A0537/start_date/2026-08-20+17%3A40%3A22/end_date/2026-09-04+17%3A40%3A22/disable/1" TargetMode="External"/><Relationship Id="rId7" Type="http://schemas.openxmlformats.org/officeDocument/2006/relationships/hyperlink" Target="/small/html/aps/orderschedule2/process_plan/TO-220CB%28%E6%AF%9B%E9%9D%A2%29/order_code/SCSLW28Q26A0378/start_date/2026-08-13+15%3A10%3A11/end_date/2026-08-28+15%3A10%3A11/disable/1" TargetMode="External"/><Relationship Id="rId69" Type="http://schemas.openxmlformats.org/officeDocument/2006/relationships/hyperlink" Target="/small/html/aps/orderschedule2/process_plan/TO-220F%28%E6%AF%9B%E9%9D%A2%29/order_code/SCSLW45F26A0536/start_date/2026-08-20+17%3A40%3A22/end_date/2026-09-04+17%3A40%3A22/disable/1" TargetMode="External"/><Relationship Id="rId68" Type="http://schemas.openxmlformats.org/officeDocument/2006/relationships/hyperlink" Target="/small/html/aps/orderschedule2/process_plan/TO-220F%28%E6%AF%9B%E9%9D%A2%29/order_code/SCSLW45F26A0467/start_date/2026-08-08+10%3A49%3A12/end_date/2026-08-23+10%3A49%3A12/disable/1" TargetMode="External"/><Relationship Id="rId67" Type="http://schemas.openxmlformats.org/officeDocument/2006/relationships/hyperlink" Target="/small/html/aps/orderschedule2/process_plan/TO-220F%28%E6%AF%9B%E9%9D%A2%29/order_code/SCSLW45F26A0465/start_date/2026-08-08+10%3A49%3A12/end_date/2026-08-23+10%3A49%3A12/disable/1" TargetMode="External"/><Relationship Id="rId66" Type="http://schemas.openxmlformats.org/officeDocument/2006/relationships/hyperlink" Target="/small/html/aps/orderschedule2/process_plan/TO-220F%28%E6%AF%9B%E9%9D%A2%29/order_code/SLW42F26A0351/start_date/2026-07-25+14%3A08%3A50/end_date/2026-08-09+14%3A08%3A50/disable/1" TargetMode="External"/><Relationship Id="rId65" Type="http://schemas.openxmlformats.org/officeDocument/2006/relationships/hyperlink" Target="/small/html/aps/orderschedule2/process_plan/TO-220F%28%E6%AF%9B%E9%9D%A2%29/order_code/SLW42F260297/start_date/2026-07-21+17%3A43%3A55/end_date/2026-08-05+17%3A43%3A55/disable/1" TargetMode="External"/><Relationship Id="rId64" Type="http://schemas.openxmlformats.org/officeDocument/2006/relationships/hyperlink" Target="/small/html/aps/orderschedule2/process_plan/TO-220F%28%E6%AF%9B%E9%9D%A2%29/order_code/SLW42F260292/start_date/2026-07-21+17%3A43%3A56/end_date/2026-08-05+17%3A43%3A56/disable/1" TargetMode="External"/><Relationship Id="rId63" Type="http://schemas.openxmlformats.org/officeDocument/2006/relationships/hyperlink" Target="/small/html/aps/orderschedule2/process_plan/TO-220F%28%E6%AF%9B%E9%9D%A2%29/order_code/SLW27F26A0408/start_date/2026-07-31+17%3A37%3A37/end_date/2026-08-15+17%3A37%3A37/disable/1" TargetMode="External"/><Relationship Id="rId62" Type="http://schemas.openxmlformats.org/officeDocument/2006/relationships/hyperlink" Target="/small/html/aps/orderschedule2/process_plan/TO-220F%28%E6%AF%9B%E9%9D%A2%29/order_code/SLW27F26A0407/start_date/2026-07-31+17%3A37%3A38/end_date/2026-08-15+17%3A37%3A38/disable/1" TargetMode="External"/><Relationship Id="rId61" Type="http://schemas.openxmlformats.org/officeDocument/2006/relationships/hyperlink" Target="/small/html/aps/orderschedule2/process_plan/TO-220F%28%E6%AF%9B%E9%9D%A2%29/order_code/SLW27F26A0406/start_date/2026-07-31+17%3A37%3A38/end_date/2026-08-15+17%3A37%3A38/disable/1" TargetMode="External"/><Relationship Id="rId60" Type="http://schemas.openxmlformats.org/officeDocument/2006/relationships/hyperlink" Target="/small/html/aps/orderschedule2/process_plan/TO-220F%28%E6%AF%9B%E9%9D%A2%29/order_code/SLW27F260284/start_date/2026-07-18+18%3A44%3A19/end_date/2026-08-02+18%3A44%3A19/disable/1" TargetMode="External"/><Relationship Id="rId6" Type="http://schemas.openxmlformats.org/officeDocument/2006/relationships/hyperlink" Target="/small/html/aps/orderschedule2/process_plan/TO-220CB%28%E6%AF%9B%E9%9D%A2%29/order_code/SCSLW33Q26A0355/start_date/2026-08-10+11%3A41%3A40/end_date/2026-08-25+11%3A41%3A40/disable/1" TargetMode="External"/><Relationship Id="rId59" Type="http://schemas.openxmlformats.org/officeDocument/2006/relationships/hyperlink" Target="/small/html/aps/orderschedule2/process_plan/TO-220F%28%E6%AF%9B%E9%9D%A2%29/order_code/MCC25F26A0386/start_date/2026-07-27+16%3A31%3A27/end_date/2026-08-11+16%3A31%3A27/disable/1" TargetMode="External"/><Relationship Id="rId58" Type="http://schemas.openxmlformats.org/officeDocument/2006/relationships/hyperlink" Target="/small/html/report/wippihaolot/process_plan/TO-220F%28%E6%AF%9B%E9%9D%A2%29/step_num/130/order_code/SLW41F260281/disable/1" TargetMode="External"/><Relationship Id="rId57" Type="http://schemas.openxmlformats.org/officeDocument/2006/relationships/hyperlink" Target="/small/html/report/wippihaolot/process_plan/TO-220F%28%E6%AF%9B%E9%9D%A2%29/step_num/130/order_code/SLW19F26A0463/disable/1" TargetMode="External"/><Relationship Id="rId56" Type="http://schemas.openxmlformats.org/officeDocument/2006/relationships/hyperlink" Target="/small/html/report/wippihaolot/process_plan/TO-220F%28%E6%AF%9B%E9%9D%A2%29/step_num/130/order_code/SLW19F26A0462/disable/1" TargetMode="External"/><Relationship Id="rId55" Type="http://schemas.openxmlformats.org/officeDocument/2006/relationships/hyperlink" Target="/small/html/report/wippihaolot/process_plan/TO-220F%28%E6%AF%9B%E9%9D%A2%29/step_num/130/order_code/SLW19F26A0358/disable/1" TargetMode="External"/><Relationship Id="rId54" Type="http://schemas.openxmlformats.org/officeDocument/2006/relationships/hyperlink" Target="/small/html/report/wippihaolot/process_plan/TO-220F%28%E6%AF%9B%E9%9D%A2%29/step_num/130/order_code/SLW45F26A0359/disable/1" TargetMode="External"/><Relationship Id="rId53" Type="http://schemas.openxmlformats.org/officeDocument/2006/relationships/hyperlink" Target="/small/html/report/wippihaolot/process_plan/TO-220F%28%E6%AF%9B%E9%9D%A2%29/step_num/130/order_code/SCSLW45F26A0539/disable/1" TargetMode="External"/><Relationship Id="rId52" Type="http://schemas.openxmlformats.org/officeDocument/2006/relationships/hyperlink" Target="/small/html/report/wippihaolot/process_plan/TO-220F%28%E6%AF%9B%E9%9D%A2%29/step_num/130/order_code/SCSLW45F26A0537/disable/1" TargetMode="External"/><Relationship Id="rId51" Type="http://schemas.openxmlformats.org/officeDocument/2006/relationships/hyperlink" Target="/small/html/report/wippihaolot/process_plan/TO-220F%28%E6%AF%9B%E9%9D%A2%29/step_num/130/order_code/SCSLW45F26A0536/disable/1" TargetMode="External"/><Relationship Id="rId50" Type="http://schemas.openxmlformats.org/officeDocument/2006/relationships/hyperlink" Target="/small/html/report/wippihaolot/process_plan/TO-220F%28%E6%AF%9B%E9%9D%A2%29/step_num/130/order_code/SCSLW45F26A0467/disable/1" TargetMode="External"/><Relationship Id="rId5" Type="http://schemas.openxmlformats.org/officeDocument/2006/relationships/hyperlink" Target="/small/html/aps/orderschedule2/process_plan/TO-220CB%28%E6%AF%9B%E9%9D%A2%29/order_code/SCSLW33Q26A0354/start_date/2026-08-10+11%3A41%3A41/end_date/2026-08-25+11%3A41%3A41/disable/1" TargetMode="External"/><Relationship Id="rId49" Type="http://schemas.openxmlformats.org/officeDocument/2006/relationships/hyperlink" Target="/small/html/report/wippihaolot/process_plan/TO-220F%28%E6%AF%9B%E9%9D%A2%29/step_num/130/order_code/SCSLW45F26A0465/disable/1" TargetMode="External"/><Relationship Id="rId48" Type="http://schemas.openxmlformats.org/officeDocument/2006/relationships/hyperlink" Target="/small/html/report/wippihaolot/process_plan/TO-220F%28%E6%AF%9B%E9%9D%A2%29/step_num/130/order_code/SLW42F26A0351/disable/1" TargetMode="External"/><Relationship Id="rId47" Type="http://schemas.openxmlformats.org/officeDocument/2006/relationships/hyperlink" Target="/small/html/report/wippihaolot/process_plan/TO-220F%28%E6%AF%9B%E9%9D%A2%29/step_num/130/order_code/SLW42F260297/disable/1" TargetMode="External"/><Relationship Id="rId46" Type="http://schemas.openxmlformats.org/officeDocument/2006/relationships/hyperlink" Target="/small/html/report/wippihaolot/process_plan/TO-220F%28%E6%AF%9B%E9%9D%A2%29/step_num/130/order_code/SLW42F260292/disable/1" TargetMode="External"/><Relationship Id="rId45" Type="http://schemas.openxmlformats.org/officeDocument/2006/relationships/hyperlink" Target="/small/html/report/wippihaolot/process_plan/TO-220F%28%E6%AF%9B%E9%9D%A2%29/step_num/130/order_code/SLW27F26A0408/disable/1" TargetMode="External"/><Relationship Id="rId44" Type="http://schemas.openxmlformats.org/officeDocument/2006/relationships/hyperlink" Target="/small/html/report/wippihaolot/process_plan/TO-220F%28%E6%AF%9B%E9%9D%A2%29/step_num/130/order_code/SLW27F26A0407/disable/1" TargetMode="External"/><Relationship Id="rId43" Type="http://schemas.openxmlformats.org/officeDocument/2006/relationships/hyperlink" Target="/small/html/report/wippihaolot/process_plan/TO-220F%28%E6%AF%9B%E9%9D%A2%29/step_num/130/order_code/SLW27F26A0406/disable/1" TargetMode="External"/><Relationship Id="rId42" Type="http://schemas.openxmlformats.org/officeDocument/2006/relationships/hyperlink" Target="/small/html/report/wippihaolot/process_plan/TO-220F%28%E6%AF%9B%E9%9D%A2%29/step_num/130/order_code/SLW27F260284/disable/1" TargetMode="External"/><Relationship Id="rId41" Type="http://schemas.openxmlformats.org/officeDocument/2006/relationships/hyperlink" Target="/small/html/report/wippihaolot/process_plan/TO-220F%28%E6%AF%9B%E9%9D%A2%29/step_num/130/order_code/MCC25F26A0386/disable/1" TargetMode="External"/><Relationship Id="rId40" Type="http://schemas.openxmlformats.org/officeDocument/2006/relationships/hyperlink" Target="/small/html/aps/orderschedule2/process_plan/TO-220CB%28%E6%AF%9B%E9%9D%A2%29/order_code/YJE40Q260259/start_date/2026-07-27+16%3A15%3A33/end_date/2026-08-11+16%3A15%3A33/disable/1" TargetMode="External"/><Relationship Id="rId4" Type="http://schemas.openxmlformats.org/officeDocument/2006/relationships/hyperlink" Target="/small/html/aps/orderschedule2/process_plan/TO-220CB%28%E6%AF%9B%E9%9D%A2%29/order_code/SCSLW33Q26A0353/start_date/2026-08-10+11%3A41%3A41/end_date/2026-08-25+11%3A41%3A41/disable/1" TargetMode="External"/><Relationship Id="rId39" Type="http://schemas.openxmlformats.org/officeDocument/2006/relationships/hyperlink" Target="/small/html/aps/orderschedule2/process_plan/TO-220CB%28%E6%AF%9B%E9%9D%A2%29/order_code/SCSLW45Q26A0352/start_date/2026-08-10+11%3A41%3A41/end_date/2026-08-25+11%3A41%3A41/disable/1" TargetMode="External"/><Relationship Id="rId38" Type="http://schemas.openxmlformats.org/officeDocument/2006/relationships/hyperlink" Target="/small/html/aps/orderschedule2/process_plan/TO-220CB%28%E6%AF%9B%E9%9D%A2%29/order_code/SCSLW45Q26A0351/start_date/2026-08-10+11%3A41%3A41/end_date/2026-08-25+11%3A41%3A41/disable/1" TargetMode="External"/><Relationship Id="rId37" Type="http://schemas.openxmlformats.org/officeDocument/2006/relationships/hyperlink" Target="/small/html/aps/orderschedule2/process_plan/TO-220CB%28%E6%AF%9B%E9%9D%A2%29/order_code/SLW31Q260092/start_date/2026-06-30+09%3A37%3A39/end_date/2026-07-15+09%3A37%3A39/disable/1" TargetMode="External"/><Relationship Id="rId36" Type="http://schemas.openxmlformats.org/officeDocument/2006/relationships/hyperlink" Target="/small/html/aps/orderschedule2/process_plan/TO-220CB%28%E6%AF%9B%E9%9D%A2%29/order_code/SLW31Q260087/start_date/2026-06-30+09%3A40%3A24/end_date/2026-07-15+09%3A40%3A24/disable/1" TargetMode="External"/><Relationship Id="rId35" Type="http://schemas.openxmlformats.org/officeDocument/2006/relationships/hyperlink" Target="/small/html/aps/orderschedule2/process_plan/TO-220CB%28%E6%AF%9B%E9%9D%A2%29/order_code/RUX46Q26A0303/start_date/2026-08-03+17%3A02%3A24/end_date/2026-08-18+17%3A02%3A24/disable/1" TargetMode="External"/><Relationship Id="rId34" Type="http://schemas.openxmlformats.org/officeDocument/2006/relationships/hyperlink" Target="/small/html/aps/orderschedule2/process_plan/TO-220CB%28%E6%AF%9B%E9%9D%A2%29/order_code/RUX46Q26A0301/start_date/2026-08-03+17%3A02%3A25/end_date/2026-08-18+17%3A02%3A25/disable/1" TargetMode="External"/><Relationship Id="rId33" Type="http://schemas.openxmlformats.org/officeDocument/2006/relationships/hyperlink" Target="/small/html/aps/orderschedule2/process_plan/TO-220CB%28%E6%AF%9B%E9%9D%A2%29/order_code/RUX46Q26A0300/start_date/2026-08-03+17%3A02%3A25/end_date/2026-08-18+17%3A02%3A25/disable/1" TargetMode="External"/><Relationship Id="rId32" Type="http://schemas.openxmlformats.org/officeDocument/2006/relationships/hyperlink" Target="/small/html/aps/orderschedule2/process_plan/TO-220CB%28%E6%AF%9B%E9%9D%A2%29/order_code/RUX46Q26A0297/start_date/2026-08-03+17%3A02%3A26/end_date/2026-08-18+17%3A02%3A26/disable/1" TargetMode="External"/><Relationship Id="rId31" Type="http://schemas.openxmlformats.org/officeDocument/2006/relationships/hyperlink" Target="/small/html/aps/orderschedule2/process_plan/TO-220CB%28%E6%AF%9B%E9%9D%A2%29/order_code/RUX46Q26A0295/start_date/2026-08-03+17%3A02%3A27/end_date/2026-08-18+17%3A02%3A27/disable/1" TargetMode="External"/><Relationship Id="rId30" Type="http://schemas.openxmlformats.org/officeDocument/2006/relationships/hyperlink" Target="/small/html/aps/orderschedule2/process_plan/TO-220CB%28%E6%AF%9B%E9%9D%A2%29/order_code/RUX46Q26A0294/start_date/2026-08-03+17%3A02%3A24/end_date/2026-08-18+17%3A02%3A24/disable/1" TargetMode="External"/><Relationship Id="rId3" Type="http://schemas.openxmlformats.org/officeDocument/2006/relationships/hyperlink" Target="/small/html/aps/orderschedule2/process_plan/TO-220CB%28%E6%AF%9B%E9%9D%A2%29/order_code/SLW44Q26A0364/start_date/2026-08-13+14%3A51%3A15/end_date/2026-08-28+14%3A51%3A15/disable/1" TargetMode="External"/><Relationship Id="rId29" Type="http://schemas.openxmlformats.org/officeDocument/2006/relationships/hyperlink" Target="/small/html/aps/orderschedule2/process_plan/TO-220CB%28%E6%AF%9B%E9%9D%A2%29/order_code/SCRUX39Q26A0373/start_date/2026-08-13+17%3A23%3A45/end_date/2026-08-28+17%3A23%3A45/disable/1" TargetMode="External"/><Relationship Id="rId28" Type="http://schemas.openxmlformats.org/officeDocument/2006/relationships/hyperlink" Target="/small/html/aps/orderschedule2/process_plan/TO-220CB%28%E6%AF%9B%E9%9D%A2%29/order_code/SCRUX39Q26A0367/start_date/2026-08-13+17%3A23%3A43/end_date/2026-08-28+17%3A23%3A43/disable/1" TargetMode="External"/><Relationship Id="rId27" Type="http://schemas.openxmlformats.org/officeDocument/2006/relationships/hyperlink" Target="/small/html/aps/orderschedule2/process_plan/TO-220CB%28%E6%AF%9B%E9%9D%A2%29/order_code/SCRUX39Q26A0345/start_date/2026-08-07+18%3A38%3A17/end_date/2026-08-22+18%3A38%3A17/disable/1" TargetMode="External"/><Relationship Id="rId26" Type="http://schemas.openxmlformats.org/officeDocument/2006/relationships/hyperlink" Target="/small/html/aps/orderschedule2/process_plan/TO-220CB%28%E6%AF%9B%E9%9D%A2%29/order_code/SCRUX39Q26A0344/start_date/2026-08-07+18%3A38%3A17/end_date/2026-08-22+18%3A38%3A17/disable/1" TargetMode="External"/><Relationship Id="rId25" Type="http://schemas.openxmlformats.org/officeDocument/2006/relationships/hyperlink" Target="/small/html/report/wippihaolot/process_plan/TO-220CB%28%E6%AF%9B%E9%9D%A2%29/step_num/320/order_code/YJE40Q260259/disable/1" TargetMode="External"/><Relationship Id="rId24" Type="http://schemas.openxmlformats.org/officeDocument/2006/relationships/hyperlink" Target="/small/html/report/wippihaolot/process_plan/TO-220CB%28%E6%AF%9B%E9%9D%A2%29/step_num/320/order_code/SCSLW28Q26A0378/disable/1" TargetMode="External"/><Relationship Id="rId23" Type="http://schemas.openxmlformats.org/officeDocument/2006/relationships/hyperlink" Target="/small/html/report/wippihaolot/process_plan/TO-220CB%28%E6%AF%9B%E9%9D%A2%29/step_num/320/order_code/SCSLW33Q26A0355/disable/1" TargetMode="External"/><Relationship Id="rId22" Type="http://schemas.openxmlformats.org/officeDocument/2006/relationships/hyperlink" Target="/small/html/report/wippihaolot/process_plan/TO-220CB%28%E6%AF%9B%E9%9D%A2%29/step_num/320/order_code/SCSLW33Q26A0354/disable/1" TargetMode="External"/><Relationship Id="rId21" Type="http://schemas.openxmlformats.org/officeDocument/2006/relationships/hyperlink" Target="/small/html/report/wippihaolot/process_plan/TO-220CB%28%E6%AF%9B%E9%9D%A2%29/step_num/320/order_code/SCSLW45Q26A0352/disable/1" TargetMode="External"/><Relationship Id="rId20" Type="http://schemas.openxmlformats.org/officeDocument/2006/relationships/hyperlink" Target="/small/html/report/wippihaolot/process_plan/TO-220CB%28%E6%AF%9B%E9%9D%A2%29/step_num/320/order_code/SCSLW45Q26A0351/disable/1" TargetMode="External"/><Relationship Id="rId2" Type="http://schemas.openxmlformats.org/officeDocument/2006/relationships/hyperlink" Target="/small/html/aps/orderschedule2/process_plan/TO-220CB%28%E6%AF%9B%E9%9D%A2%29/order_code/SLW32Q26A0362/start_date/2026-08-08+10%3A23%3A34/end_date/2026-08-23+10%3A23%3A34/disable/1" TargetMode="External"/><Relationship Id="rId19" Type="http://schemas.openxmlformats.org/officeDocument/2006/relationships/hyperlink" Target="/small/html/report/wippihaolot/process_plan/TO-220CB%28%E6%AF%9B%E9%9D%A2%29/step_num/320/order_code/SLW31Q260092/disable/1" TargetMode="External"/><Relationship Id="rId18" Type="http://schemas.openxmlformats.org/officeDocument/2006/relationships/hyperlink" Target="/small/html/report/wippihaolot/process_plan/TO-220CB%28%E6%AF%9B%E9%9D%A2%29/step_num/320/order_code/SLW31Q260087/disable/1" TargetMode="External"/><Relationship Id="rId17" Type="http://schemas.openxmlformats.org/officeDocument/2006/relationships/hyperlink" Target="/small/html/report/wippihaolot/process_plan/TO-220CB%28%E6%AF%9B%E9%9D%A2%29/step_num/320/order_code/RUX46Q26A0303/disable/1" TargetMode="External"/><Relationship Id="rId16" Type="http://schemas.openxmlformats.org/officeDocument/2006/relationships/hyperlink" Target="/small/html/report/wippihaolot/process_plan/TO-220CB%28%E6%AF%9B%E9%9D%A2%29/step_num/320/order_code/RUX46Q26A0301/disable/1" TargetMode="External"/><Relationship Id="rId15" Type="http://schemas.openxmlformats.org/officeDocument/2006/relationships/hyperlink" Target="/small/html/report/wippihaolot/process_plan/TO-220CB%28%E6%AF%9B%E9%9D%A2%29/step_num/320/order_code/RUX46Q26A0300/disable/1" TargetMode="External"/><Relationship Id="rId14" Type="http://schemas.openxmlformats.org/officeDocument/2006/relationships/hyperlink" Target="/small/html/report/wippihaolot/process_plan/TO-220CB%28%E6%AF%9B%E9%9D%A2%29/step_num/320/order_code/RUX46Q26A0297/disable/1" TargetMode="External"/><Relationship Id="rId13" Type="http://schemas.openxmlformats.org/officeDocument/2006/relationships/hyperlink" Target="/small/html/report/wippihaolot/process_plan/TO-220CB%28%E6%AF%9B%E9%9D%A2%29/step_num/320/order_code/RUX46Q26A0295/disable/1" TargetMode="External"/><Relationship Id="rId12" Type="http://schemas.openxmlformats.org/officeDocument/2006/relationships/hyperlink" Target="/small/html/report/wippihaolot/process_plan/TO-220CB%28%E6%AF%9B%E9%9D%A2%29/step_num/320/order_code/RUX46Q26A0294/disable/1" TargetMode="External"/><Relationship Id="rId11" Type="http://schemas.openxmlformats.org/officeDocument/2006/relationships/hyperlink" Target="/small/html/report/wippihaolot/process_plan/TO-220CB%28%E6%AF%9B%E9%9D%A2%29/step_num/320/order_code/SCRUX39Q26A0373/disable/1" TargetMode="External"/><Relationship Id="rId10" Type="http://schemas.openxmlformats.org/officeDocument/2006/relationships/hyperlink" Target="/small/html/report/wippihaolot/process_plan/TO-220CB%28%E6%AF%9B%E9%9D%A2%29/step_num/320/order_code/SCRUX39Q26A0367/disable/1" TargetMode="External"/><Relationship Id="rId1" Type="http://schemas.openxmlformats.org/officeDocument/2006/relationships/hyperlink" Target="/small/html/aps/orderschedule2/process_plan/TO-220CB%28%E6%AF%9B%E9%9D%A2%29/order_code/SLW32Q26A0361/start_date/2026-08-08+10%3A22%3A55/end_date/2026-08-23+10%3A22%3A55/disable/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85" zoomScaleNormal="85" topLeftCell="A5" workbookViewId="0">
      <selection activeCell="C22" sqref="C22"/>
    </sheetView>
  </sheetViews>
  <sheetFormatPr defaultColWidth="8.72727272727273" defaultRowHeight="14" outlineLevelCol="4"/>
  <cols>
    <col min="1" max="2" width="27.3727272727273" style="4" customWidth="1"/>
    <col min="3" max="3" width="41.4909090909091" style="4" customWidth="1"/>
    <col min="4" max="4" width="20.7363636363636" style="4" customWidth="1"/>
    <col min="5" max="5" width="20.4272727272727" style="4" customWidth="1"/>
    <col min="6" max="16384" width="8.72727272727273" style="4"/>
  </cols>
  <sheetData>
    <row r="1" ht="52" customHeight="1" spans="1:5">
      <c r="A1" s="6" t="s">
        <v>0</v>
      </c>
      <c r="B1" s="6"/>
      <c r="C1" s="6"/>
      <c r="D1" s="6"/>
    </row>
    <row r="2" ht="42" customHeight="1" spans="1:5">
      <c r="A2" s="8" t="s">
        <v>1</v>
      </c>
      <c r="B2" s="8" t="s">
        <v>2</v>
      </c>
      <c r="C2" s="8" t="s">
        <v>3</v>
      </c>
      <c r="D2" s="8" t="s">
        <v>4</v>
      </c>
      <c r="E2" s="32" t="s">
        <v>5</v>
      </c>
    </row>
    <row r="3" ht="42" customHeight="1" spans="1:5">
      <c r="A3" s="106" t="s">
        <v>6</v>
      </c>
      <c r="B3" s="108" t="s">
        <v>7</v>
      </c>
      <c r="C3" s="108" t="s">
        <v>8</v>
      </c>
      <c r="D3" s="92">
        <v>23928</v>
      </c>
      <c r="E3" s="32" t="s">
        <v>9</v>
      </c>
    </row>
    <row r="4" ht="42" customHeight="1" spans="1:5">
      <c r="A4" s="100"/>
      <c r="B4" s="108" t="s">
        <v>10</v>
      </c>
      <c r="C4" s="108" t="s">
        <v>8</v>
      </c>
      <c r="D4" s="92">
        <v>15269</v>
      </c>
      <c r="E4" s="32"/>
    </row>
    <row r="5" ht="42" customHeight="1" spans="1:5">
      <c r="A5" s="109"/>
      <c r="B5" s="83" t="s">
        <v>11</v>
      </c>
      <c r="C5" s="83" t="s">
        <v>8</v>
      </c>
      <c r="D5" s="86">
        <v>138843</v>
      </c>
      <c r="E5" s="32"/>
    </row>
    <row r="6" ht="42" customHeight="1" spans="1:5">
      <c r="A6" s="61" t="s">
        <v>12</v>
      </c>
      <c r="B6" s="83" t="s">
        <v>13</v>
      </c>
      <c r="C6" s="83" t="s">
        <v>14</v>
      </c>
      <c r="D6" s="86">
        <v>12179</v>
      </c>
      <c r="E6" s="32"/>
    </row>
    <row r="7" ht="42" customHeight="1" spans="1:5">
      <c r="A7" s="106" t="s">
        <v>15</v>
      </c>
      <c r="B7" s="83" t="s">
        <v>16</v>
      </c>
      <c r="C7" s="83" t="s">
        <v>17</v>
      </c>
      <c r="D7" s="86">
        <v>12475</v>
      </c>
      <c r="E7" s="52" t="s">
        <v>18</v>
      </c>
    </row>
    <row r="8" ht="42" customHeight="1" spans="1:5">
      <c r="A8" s="100"/>
      <c r="B8" s="83" t="s">
        <v>19</v>
      </c>
      <c r="C8" s="83" t="s">
        <v>20</v>
      </c>
      <c r="D8" s="86">
        <v>118716</v>
      </c>
      <c r="E8" s="52" t="s">
        <v>9</v>
      </c>
    </row>
    <row r="9" ht="42" customHeight="1" spans="1:5">
      <c r="A9" s="109"/>
      <c r="B9" s="83" t="s">
        <v>21</v>
      </c>
      <c r="C9" s="83" t="s">
        <v>22</v>
      </c>
      <c r="D9" s="86">
        <v>42064</v>
      </c>
      <c r="E9" s="52"/>
    </row>
    <row r="10" ht="42" customHeight="1" spans="1:5">
      <c r="A10" s="61" t="s">
        <v>23</v>
      </c>
      <c r="B10" s="83" t="s">
        <v>24</v>
      </c>
      <c r="C10" s="83" t="s">
        <v>25</v>
      </c>
      <c r="D10" s="86">
        <v>68821</v>
      </c>
      <c r="E10" s="52"/>
    </row>
    <row r="11" ht="42" customHeight="1" spans="1:5">
      <c r="A11" s="61"/>
      <c r="B11" s="83" t="s">
        <v>26</v>
      </c>
      <c r="C11" s="83" t="s">
        <v>27</v>
      </c>
      <c r="D11" s="86">
        <v>53702</v>
      </c>
      <c r="E11" s="52"/>
    </row>
    <row r="12" ht="42" customHeight="1" spans="1:5">
      <c r="A12" s="61"/>
      <c r="B12" s="83" t="s">
        <v>28</v>
      </c>
      <c r="C12" s="83" t="s">
        <v>29</v>
      </c>
      <c r="D12" s="86">
        <v>8324</v>
      </c>
      <c r="E12" s="52"/>
    </row>
  </sheetData>
  <mergeCells count="4">
    <mergeCell ref="A1:D1"/>
    <mergeCell ref="A3:A5"/>
    <mergeCell ref="A7:A9"/>
    <mergeCell ref="E3:E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70" zoomScaleNormal="70" workbookViewId="0">
      <selection activeCell="C22" sqref="C22"/>
    </sheetView>
  </sheetViews>
  <sheetFormatPr defaultColWidth="8.72727272727273" defaultRowHeight="14" outlineLevelCol="4"/>
  <cols>
    <col min="1" max="2" width="27.3727272727273" style="4" customWidth="1"/>
    <col min="3" max="3" width="41.4909090909091" style="4" customWidth="1"/>
    <col min="4" max="4" width="20.7363636363636" style="4" customWidth="1"/>
    <col min="5" max="5" width="20.4272727272727" style="4" customWidth="1"/>
    <col min="6" max="16384" width="8.72727272727273" style="4"/>
  </cols>
  <sheetData>
    <row r="1" s="4" customFormat="1" ht="52" customHeight="1" spans="1:5">
      <c r="A1" s="6" t="s">
        <v>30</v>
      </c>
      <c r="B1" s="6"/>
      <c r="C1" s="6"/>
      <c r="D1" s="6"/>
    </row>
    <row r="2" s="4" customFormat="1" ht="42" customHeight="1" spans="1:5">
      <c r="A2" s="8" t="s">
        <v>1</v>
      </c>
      <c r="B2" s="8" t="s">
        <v>2</v>
      </c>
      <c r="C2" s="8" t="s">
        <v>3</v>
      </c>
      <c r="D2" s="8" t="s">
        <v>4</v>
      </c>
      <c r="E2" s="32" t="s">
        <v>5</v>
      </c>
    </row>
    <row r="3" s="4" customFormat="1" ht="42" customHeight="1" spans="1:5">
      <c r="A3" s="93" t="s">
        <v>6</v>
      </c>
      <c r="B3" s="70" t="s">
        <v>7</v>
      </c>
      <c r="C3" s="70" t="s">
        <v>8</v>
      </c>
      <c r="D3" s="80">
        <v>23928</v>
      </c>
      <c r="E3" s="31" t="s">
        <v>9</v>
      </c>
    </row>
    <row r="4" s="4" customFormat="1" ht="42" customHeight="1" spans="1:5">
      <c r="A4" s="104"/>
      <c r="B4" s="70" t="s">
        <v>10</v>
      </c>
      <c r="C4" s="70" t="s">
        <v>8</v>
      </c>
      <c r="D4" s="80">
        <v>15269</v>
      </c>
      <c r="E4" s="81"/>
    </row>
    <row r="5" s="4" customFormat="1" ht="42" customHeight="1" spans="1:5">
      <c r="A5" s="104"/>
      <c r="B5" s="70" t="s">
        <v>11</v>
      </c>
      <c r="C5" s="70" t="s">
        <v>8</v>
      </c>
      <c r="D5" s="80">
        <v>112001</v>
      </c>
      <c r="E5" s="81"/>
    </row>
    <row r="6" s="4" customFormat="1" ht="42" customHeight="1" spans="1:5">
      <c r="A6" s="104"/>
      <c r="B6" s="70" t="s">
        <v>31</v>
      </c>
      <c r="C6" s="70" t="s">
        <v>32</v>
      </c>
      <c r="D6" s="80">
        <v>35785</v>
      </c>
      <c r="E6" s="81"/>
    </row>
    <row r="7" s="4" customFormat="1" ht="42" customHeight="1" spans="1:5">
      <c r="A7" s="105"/>
      <c r="B7" s="70" t="s">
        <v>33</v>
      </c>
      <c r="C7" s="70" t="s">
        <v>32</v>
      </c>
      <c r="D7" s="80">
        <v>107373</v>
      </c>
      <c r="E7" s="81"/>
    </row>
    <row r="8" s="4" customFormat="1" ht="42" customHeight="1" spans="1:5">
      <c r="A8" s="61" t="s">
        <v>23</v>
      </c>
      <c r="B8" s="83" t="s">
        <v>34</v>
      </c>
      <c r="C8" s="83" t="s">
        <v>35</v>
      </c>
      <c r="D8" s="86">
        <v>15338</v>
      </c>
      <c r="E8" s="81"/>
    </row>
    <row r="9" s="4" customFormat="1" ht="42" customHeight="1" spans="1:5">
      <c r="A9" s="61" t="s">
        <v>36</v>
      </c>
      <c r="B9" s="83" t="s">
        <v>28</v>
      </c>
      <c r="C9" s="83" t="s">
        <v>29</v>
      </c>
      <c r="D9" s="86">
        <v>6887</v>
      </c>
      <c r="E9" s="81"/>
    </row>
    <row r="10" s="4" customFormat="1" ht="42" customHeight="1" spans="1:5">
      <c r="A10" s="106" t="s">
        <v>15</v>
      </c>
      <c r="B10" s="83" t="s">
        <v>37</v>
      </c>
      <c r="C10" s="83" t="s">
        <v>38</v>
      </c>
      <c r="D10" s="86">
        <v>88165</v>
      </c>
      <c r="E10" s="81"/>
    </row>
    <row r="11" s="4" customFormat="1" ht="42" customHeight="1" spans="1:5">
      <c r="A11" s="100"/>
      <c r="B11" s="107" t="s">
        <v>21</v>
      </c>
      <c r="C11" s="107" t="s">
        <v>22</v>
      </c>
      <c r="D11" s="86">
        <v>34430</v>
      </c>
      <c r="E11" s="87"/>
    </row>
    <row r="12" ht="40" customHeight="1" spans="1:5">
      <c r="A12" s="88" t="s">
        <v>39</v>
      </c>
      <c r="B12" s="89"/>
      <c r="C12" s="89"/>
      <c r="D12" s="90">
        <f>SUM(D3:D11)</f>
        <v>439176</v>
      </c>
      <c r="E12" s="55"/>
    </row>
  </sheetData>
  <mergeCells count="5">
    <mergeCell ref="A1:D1"/>
    <mergeCell ref="A12:C12"/>
    <mergeCell ref="A3:A7"/>
    <mergeCell ref="A10:A11"/>
    <mergeCell ref="E3:E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zoomScale="70" zoomScaleNormal="70" workbookViewId="0">
      <selection activeCell="C22" sqref="C22"/>
    </sheetView>
  </sheetViews>
  <sheetFormatPr defaultColWidth="8.72727272727273" defaultRowHeight="14" outlineLevelCol="4"/>
  <cols>
    <col min="1" max="2" width="27.3727272727273" style="4" customWidth="1"/>
    <col min="3" max="3" width="41.4909090909091" style="4" customWidth="1"/>
    <col min="4" max="4" width="20.7363636363636" style="4" customWidth="1"/>
    <col min="5" max="5" width="47.9181818181818" style="4" customWidth="1"/>
    <col min="6" max="16384" width="8.72727272727273" style="4"/>
  </cols>
  <sheetData>
    <row r="1" s="4" customFormat="1" ht="52" customHeight="1" spans="1:5">
      <c r="A1" s="6" t="s">
        <v>40</v>
      </c>
      <c r="B1" s="6"/>
      <c r="C1" s="6"/>
      <c r="D1" s="6"/>
    </row>
    <row r="2" s="4" customFormat="1" ht="42" customHeight="1" spans="1:5">
      <c r="A2" s="8" t="s">
        <v>1</v>
      </c>
      <c r="B2" s="8" t="s">
        <v>2</v>
      </c>
      <c r="C2" s="8" t="s">
        <v>3</v>
      </c>
      <c r="D2" s="8" t="s">
        <v>4</v>
      </c>
      <c r="E2" s="32" t="s">
        <v>5</v>
      </c>
    </row>
    <row r="3" s="4" customFormat="1" ht="42" customHeight="1" spans="1:5">
      <c r="A3" s="93" t="s">
        <v>6</v>
      </c>
      <c r="B3" s="70" t="s">
        <v>41</v>
      </c>
      <c r="C3" s="70" t="s">
        <v>8</v>
      </c>
      <c r="D3" s="92">
        <v>134122</v>
      </c>
      <c r="E3" s="31" t="s">
        <v>42</v>
      </c>
    </row>
    <row r="4" s="4" customFormat="1" ht="42" customHeight="1" spans="1:5">
      <c r="A4" s="61">
        <v>263</v>
      </c>
      <c r="B4" s="70" t="s">
        <v>37</v>
      </c>
      <c r="C4" s="70" t="s">
        <v>38</v>
      </c>
      <c r="D4" s="92">
        <v>195534</v>
      </c>
      <c r="E4" s="81"/>
    </row>
    <row r="5" s="4" customFormat="1" ht="42" customHeight="1" spans="1:5">
      <c r="A5" s="61"/>
      <c r="B5" s="70" t="s">
        <v>19</v>
      </c>
      <c r="C5" s="70" t="s">
        <v>20</v>
      </c>
      <c r="D5" s="92">
        <v>15309</v>
      </c>
      <c r="E5" s="81"/>
    </row>
    <row r="6" s="4" customFormat="1" ht="42" customHeight="1" spans="1:5">
      <c r="A6" s="61"/>
      <c r="B6" s="70" t="s">
        <v>21</v>
      </c>
      <c r="C6" s="70" t="s">
        <v>22</v>
      </c>
      <c r="D6" s="92">
        <v>41771</v>
      </c>
      <c r="E6" s="81"/>
    </row>
    <row r="7" s="4" customFormat="1" ht="42" customHeight="1" spans="1:5">
      <c r="A7" s="61" t="s">
        <v>43</v>
      </c>
      <c r="B7" s="94" t="s">
        <v>44</v>
      </c>
      <c r="C7" s="95" t="s">
        <v>45</v>
      </c>
      <c r="D7" s="96">
        <v>53684</v>
      </c>
      <c r="E7" s="81"/>
    </row>
    <row r="8" s="4" customFormat="1" ht="42" customHeight="1" spans="1:5">
      <c r="A8" s="61"/>
      <c r="B8" s="94" t="s">
        <v>26</v>
      </c>
      <c r="C8" s="95" t="s">
        <v>46</v>
      </c>
      <c r="D8" s="96">
        <v>19109</v>
      </c>
      <c r="E8" s="81"/>
    </row>
    <row r="9" s="4" customFormat="1" ht="42" customHeight="1" spans="1:5">
      <c r="A9" s="61"/>
      <c r="B9" s="82" t="s">
        <v>47</v>
      </c>
      <c r="C9" s="83" t="s">
        <v>48</v>
      </c>
      <c r="D9" s="92">
        <v>22845</v>
      </c>
      <c r="E9" s="81"/>
    </row>
    <row r="10" s="4" customFormat="1" ht="42" customHeight="1" spans="1:5">
      <c r="A10" s="61"/>
      <c r="B10" s="97" t="s">
        <v>49</v>
      </c>
      <c r="C10" s="98" t="s">
        <v>48</v>
      </c>
      <c r="D10" s="99">
        <v>11502</v>
      </c>
      <c r="E10" s="81"/>
    </row>
    <row r="11" s="4" customFormat="1" ht="42" customHeight="1" spans="1:5">
      <c r="A11" s="100">
        <v>247</v>
      </c>
      <c r="B11" s="101" t="s">
        <v>50</v>
      </c>
      <c r="C11" s="101" t="s">
        <v>51</v>
      </c>
      <c r="D11" s="99">
        <v>51464</v>
      </c>
      <c r="E11" s="87"/>
    </row>
    <row r="12" s="4" customFormat="1" ht="64" customHeight="1" spans="1:5">
      <c r="A12" s="61" t="s">
        <v>52</v>
      </c>
      <c r="B12" s="101" t="s">
        <v>28</v>
      </c>
      <c r="C12" s="102" t="s">
        <v>29</v>
      </c>
      <c r="D12" s="99">
        <v>1139</v>
      </c>
      <c r="E12" s="103" t="s">
        <v>53</v>
      </c>
    </row>
    <row r="13" s="4" customFormat="1" ht="42" customHeight="1" spans="1:5">
      <c r="A13" s="61"/>
      <c r="B13" s="101" t="s">
        <v>54</v>
      </c>
      <c r="C13" s="102" t="s">
        <v>29</v>
      </c>
      <c r="D13" s="99">
        <v>11488</v>
      </c>
      <c r="E13" s="52" t="s">
        <v>42</v>
      </c>
    </row>
    <row r="14" ht="40" customHeight="1" spans="1:5">
      <c r="A14" s="88" t="s">
        <v>39</v>
      </c>
      <c r="B14" s="89"/>
      <c r="C14" s="89"/>
      <c r="D14" s="90">
        <f>SUM(D3:D13)</f>
        <v>557967</v>
      </c>
      <c r="E14" s="55"/>
    </row>
  </sheetData>
  <mergeCells count="6">
    <mergeCell ref="A1:D1"/>
    <mergeCell ref="A14:C14"/>
    <mergeCell ref="A4:A6"/>
    <mergeCell ref="A7:A10"/>
    <mergeCell ref="A12:A13"/>
    <mergeCell ref="E3:E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zoomScale="70" zoomScaleNormal="70" topLeftCell="A9" workbookViewId="0">
      <selection activeCell="C22" sqref="C22"/>
    </sheetView>
  </sheetViews>
  <sheetFormatPr defaultColWidth="8.72727272727273" defaultRowHeight="14" outlineLevelCol="4"/>
  <cols>
    <col min="1" max="2" width="27.3727272727273" style="4" customWidth="1"/>
    <col min="3" max="3" width="41.4909090909091" style="4" customWidth="1"/>
    <col min="4" max="4" width="20.7363636363636" style="4" customWidth="1"/>
    <col min="5" max="5" width="55.4454545454545" style="4" customWidth="1"/>
    <col min="6" max="16384" width="8.72727272727273" style="4"/>
  </cols>
  <sheetData>
    <row r="1" s="4" customFormat="1" ht="52" customHeight="1" spans="1:5">
      <c r="A1" s="6" t="s">
        <v>55</v>
      </c>
      <c r="B1" s="6"/>
      <c r="C1" s="6"/>
      <c r="D1" s="6"/>
    </row>
    <row r="2" s="4" customFormat="1" ht="42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82" customHeight="1" spans="1:5">
      <c r="A3" s="77"/>
      <c r="B3" s="78" t="s">
        <v>56</v>
      </c>
      <c r="C3" s="77" t="s">
        <v>57</v>
      </c>
      <c r="D3" s="77"/>
      <c r="E3" s="79" t="s">
        <v>58</v>
      </c>
    </row>
    <row r="4" s="4" customFormat="1" ht="42" customHeight="1" spans="1:5">
      <c r="A4" s="61" t="s">
        <v>6</v>
      </c>
      <c r="B4" s="69" t="s">
        <v>41</v>
      </c>
      <c r="C4" s="70" t="s">
        <v>8</v>
      </c>
      <c r="D4" s="80">
        <v>152039</v>
      </c>
      <c r="E4" s="31" t="s">
        <v>59</v>
      </c>
    </row>
    <row r="5" s="4" customFormat="1" ht="42" customHeight="1" spans="1:5">
      <c r="A5" s="61"/>
      <c r="B5" s="69" t="s">
        <v>60</v>
      </c>
      <c r="C5" s="70" t="s">
        <v>8</v>
      </c>
      <c r="D5" s="80">
        <v>26744</v>
      </c>
      <c r="E5" s="81"/>
    </row>
    <row r="6" s="4" customFormat="1" ht="50" customHeight="1" spans="1:5">
      <c r="A6" s="61"/>
      <c r="B6" s="69" t="s">
        <v>61</v>
      </c>
      <c r="C6" s="70" t="s">
        <v>32</v>
      </c>
      <c r="D6" s="80">
        <v>53719</v>
      </c>
      <c r="E6" s="81"/>
    </row>
    <row r="7" s="4" customFormat="1" ht="42" customHeight="1" spans="1:5">
      <c r="A7" s="61">
        <v>263</v>
      </c>
      <c r="B7" s="69" t="s">
        <v>37</v>
      </c>
      <c r="C7" s="70" t="s">
        <v>38</v>
      </c>
      <c r="D7" s="80">
        <v>214660</v>
      </c>
      <c r="E7" s="81"/>
    </row>
    <row r="8" s="4" customFormat="1" ht="42" customHeight="1" spans="1:5">
      <c r="A8" s="61"/>
      <c r="B8" s="82" t="s">
        <v>19</v>
      </c>
      <c r="C8" s="83" t="s">
        <v>20</v>
      </c>
      <c r="D8" s="80">
        <v>18356</v>
      </c>
      <c r="E8" s="81"/>
    </row>
    <row r="9" s="4" customFormat="1" ht="42" customHeight="1" spans="1:5">
      <c r="A9" s="61"/>
      <c r="B9" s="84" t="s">
        <v>21</v>
      </c>
      <c r="C9" s="85" t="s">
        <v>22</v>
      </c>
      <c r="D9" s="80">
        <v>41771</v>
      </c>
      <c r="E9" s="81"/>
    </row>
    <row r="10" s="4" customFormat="1" ht="42" customHeight="1" spans="1:5">
      <c r="A10" s="61" t="s">
        <v>43</v>
      </c>
      <c r="B10" s="84" t="s">
        <v>62</v>
      </c>
      <c r="C10" s="85" t="s">
        <v>63</v>
      </c>
      <c r="D10" s="80">
        <v>53603</v>
      </c>
      <c r="E10" s="81"/>
    </row>
    <row r="11" s="4" customFormat="1" ht="42" customHeight="1" spans="1:5">
      <c r="A11" s="61"/>
      <c r="B11" s="84" t="s">
        <v>44</v>
      </c>
      <c r="C11" s="85" t="s">
        <v>45</v>
      </c>
      <c r="D11" s="86">
        <v>130335</v>
      </c>
      <c r="E11" s="81"/>
    </row>
    <row r="12" s="4" customFormat="1" ht="42" customHeight="1" spans="1:5">
      <c r="A12" s="61"/>
      <c r="B12" s="84" t="s">
        <v>64</v>
      </c>
      <c r="C12" s="85" t="s">
        <v>65</v>
      </c>
      <c r="D12" s="86">
        <v>61391</v>
      </c>
      <c r="E12" s="81"/>
    </row>
    <row r="13" s="4" customFormat="1" ht="42" customHeight="1" spans="1:5">
      <c r="A13" s="61"/>
      <c r="B13" s="84" t="s">
        <v>66</v>
      </c>
      <c r="C13" s="85" t="s">
        <v>67</v>
      </c>
      <c r="D13" s="86">
        <v>34493</v>
      </c>
      <c r="E13" s="81"/>
    </row>
    <row r="14" s="4" customFormat="1" ht="42" customHeight="1" spans="1:5">
      <c r="A14" s="61"/>
      <c r="B14" s="84" t="s">
        <v>47</v>
      </c>
      <c r="C14" s="85" t="s">
        <v>48</v>
      </c>
      <c r="D14" s="86">
        <v>22845</v>
      </c>
      <c r="E14" s="81"/>
    </row>
    <row r="15" s="4" customFormat="1" ht="42" customHeight="1" spans="1:5">
      <c r="A15" s="61" t="s">
        <v>52</v>
      </c>
      <c r="B15" s="85" t="s">
        <v>54</v>
      </c>
      <c r="C15" s="85" t="s">
        <v>29</v>
      </c>
      <c r="D15" s="86">
        <v>8629</v>
      </c>
      <c r="E15" s="87"/>
    </row>
    <row r="16" s="4" customFormat="1" ht="42" customHeight="1" spans="1:5">
      <c r="A16" s="88" t="s">
        <v>39</v>
      </c>
      <c r="B16" s="89"/>
      <c r="C16" s="89"/>
      <c r="D16" s="90">
        <f>SUM(D4:D15)</f>
        <v>818585</v>
      </c>
      <c r="E16" s="55"/>
    </row>
    <row r="17" s="4" customFormat="1" ht="42" customHeight="1" spans="1:5">
      <c r="A17" s="61"/>
      <c r="B17" s="91"/>
      <c r="C17" s="91"/>
      <c r="D17" s="92"/>
      <c r="E17" s="76"/>
    </row>
    <row r="18" s="4" customFormat="1" ht="42" customHeight="1" spans="1:5">
      <c r="A18" s="61"/>
      <c r="B18" s="91"/>
      <c r="C18" s="91"/>
      <c r="D18" s="92"/>
      <c r="E18" s="76"/>
    </row>
    <row r="19" s="4" customFormat="1" ht="42" customHeight="1" spans="1:5">
      <c r="A19" s="61"/>
      <c r="B19" s="91"/>
      <c r="C19" s="91"/>
      <c r="D19" s="92"/>
      <c r="E19" s="76"/>
    </row>
    <row r="20" s="4" customFormat="1" ht="42" customHeight="1" spans="1:5">
      <c r="A20" s="61"/>
      <c r="B20" s="91"/>
      <c r="C20" s="91"/>
      <c r="D20" s="92"/>
      <c r="E20" s="76"/>
    </row>
    <row r="21" s="4" customFormat="1" ht="42" customHeight="1" spans="1:5">
      <c r="A21" s="61"/>
      <c r="B21" s="91"/>
      <c r="C21" s="91"/>
      <c r="D21" s="92"/>
      <c r="E21" s="76"/>
    </row>
    <row r="22" s="4" customFormat="1" ht="42" customHeight="1" spans="1:5">
      <c r="A22" s="61"/>
      <c r="B22" s="91"/>
      <c r="C22" s="91"/>
      <c r="D22" s="92"/>
      <c r="E22" s="76"/>
    </row>
    <row r="23" s="4" customFormat="1" ht="42" customHeight="1" spans="1:5">
      <c r="A23" s="61"/>
      <c r="B23" s="91"/>
      <c r="C23" s="91"/>
      <c r="D23" s="92"/>
      <c r="E23" s="76"/>
    </row>
    <row r="24" s="4" customFormat="1" ht="42" customHeight="1" spans="1:5">
      <c r="A24" s="61"/>
      <c r="B24" s="91"/>
      <c r="C24" s="91"/>
      <c r="D24" s="92"/>
      <c r="E24" s="76"/>
    </row>
    <row r="25" ht="40" customHeight="1" spans="1:5">
      <c r="A25" s="88" t="s">
        <v>39</v>
      </c>
      <c r="B25" s="89"/>
      <c r="C25" s="89"/>
      <c r="D25" s="90">
        <f>SUM(D4:D13)</f>
        <v>787111</v>
      </c>
      <c r="E25" s="55"/>
    </row>
  </sheetData>
  <mergeCells count="7">
    <mergeCell ref="A1:D1"/>
    <mergeCell ref="A16:C16"/>
    <mergeCell ref="A25:C25"/>
    <mergeCell ref="A4:A6"/>
    <mergeCell ref="A7:A9"/>
    <mergeCell ref="A10:A14"/>
    <mergeCell ref="E4:E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zoomScale="70" zoomScaleNormal="70" topLeftCell="A16" workbookViewId="0">
      <selection activeCell="C22" sqref="C22"/>
    </sheetView>
  </sheetViews>
  <sheetFormatPr defaultColWidth="8.72727272727273" defaultRowHeight="14" outlineLevelCol="4"/>
  <cols>
    <col min="1" max="2" width="27.3727272727273" style="4" customWidth="1"/>
    <col min="3" max="3" width="47.4090909090909" style="4" customWidth="1"/>
    <col min="4" max="4" width="20.7363636363636" style="4" customWidth="1"/>
    <col min="5" max="5" width="55.4454545454545" style="4" customWidth="1"/>
    <col min="6" max="16384" width="8.72727272727273" style="4"/>
  </cols>
  <sheetData>
    <row r="1" s="4" customFormat="1" ht="52" customHeight="1" spans="1:5">
      <c r="A1" s="6" t="s">
        <v>68</v>
      </c>
      <c r="B1" s="6"/>
      <c r="C1" s="6"/>
      <c r="D1" s="6"/>
    </row>
    <row r="2" s="4" customFormat="1" ht="42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42" hidden="1" customHeight="1" spans="1:5">
      <c r="A3" s="63" t="s">
        <v>69</v>
      </c>
      <c r="B3" s="64"/>
      <c r="C3" s="64"/>
      <c r="D3" s="64"/>
      <c r="E3" s="65"/>
    </row>
    <row r="4" s="4" customFormat="1" ht="36" hidden="1" customHeight="1" spans="1:5">
      <c r="A4" s="66"/>
      <c r="B4" s="67" t="s">
        <v>56</v>
      </c>
      <c r="C4" s="66" t="s">
        <v>57</v>
      </c>
      <c r="D4" s="66"/>
      <c r="E4" s="65" t="s">
        <v>58</v>
      </c>
    </row>
    <row r="5" s="4" customFormat="1" ht="42" customHeight="1" spans="1:5">
      <c r="A5" s="61" t="s">
        <v>43</v>
      </c>
      <c r="B5" s="56" t="s">
        <v>62</v>
      </c>
      <c r="C5" s="57" t="s">
        <v>63</v>
      </c>
      <c r="D5" s="68">
        <v>7121</v>
      </c>
      <c r="E5" s="32" t="s">
        <v>70</v>
      </c>
    </row>
    <row r="6" s="4" customFormat="1" ht="42" customHeight="1" spans="1:5">
      <c r="A6" s="61"/>
      <c r="B6" s="69" t="s">
        <v>44</v>
      </c>
      <c r="C6" s="70" t="s">
        <v>45</v>
      </c>
      <c r="D6" s="68">
        <v>19190</v>
      </c>
      <c r="E6" s="32"/>
    </row>
    <row r="7" s="4" customFormat="1" ht="42" customHeight="1" spans="1:5">
      <c r="A7" s="61"/>
      <c r="B7" s="71" t="s">
        <v>64</v>
      </c>
      <c r="C7" s="57" t="s">
        <v>65</v>
      </c>
      <c r="D7" s="68">
        <v>7644</v>
      </c>
      <c r="E7" s="32"/>
    </row>
    <row r="8" s="4" customFormat="1" ht="42" customHeight="1" spans="1:5">
      <c r="A8" s="61"/>
      <c r="B8" s="71" t="s">
        <v>71</v>
      </c>
      <c r="C8" s="57" t="s">
        <v>67</v>
      </c>
      <c r="D8" s="68">
        <v>23022</v>
      </c>
      <c r="E8" s="32"/>
    </row>
    <row r="9" s="4" customFormat="1" ht="42" customHeight="1" spans="1:5">
      <c r="A9" s="61"/>
      <c r="B9" s="53" t="s">
        <v>72</v>
      </c>
      <c r="C9" s="54" t="s">
        <v>35</v>
      </c>
      <c r="D9" s="68">
        <v>30620</v>
      </c>
      <c r="E9" s="32"/>
    </row>
    <row r="10" s="4" customFormat="1" ht="42" customHeight="1" spans="1:5">
      <c r="A10" s="61"/>
      <c r="B10" s="56" t="s">
        <v>66</v>
      </c>
      <c r="C10" s="57" t="s">
        <v>67</v>
      </c>
      <c r="D10" s="68">
        <v>68942</v>
      </c>
      <c r="E10" s="32"/>
    </row>
    <row r="11" s="4" customFormat="1" ht="42" customHeight="1" spans="1:5">
      <c r="A11" s="61"/>
      <c r="B11" s="56" t="s">
        <v>73</v>
      </c>
      <c r="C11" s="57" t="s">
        <v>74</v>
      </c>
      <c r="D11" s="72">
        <v>14154</v>
      </c>
      <c r="E11" s="32"/>
    </row>
    <row r="12" s="4" customFormat="1" ht="42" customHeight="1" spans="1:5">
      <c r="A12" s="61"/>
      <c r="B12" s="56" t="s">
        <v>24</v>
      </c>
      <c r="C12" s="57" t="s">
        <v>25</v>
      </c>
      <c r="D12" s="72">
        <v>11391</v>
      </c>
      <c r="E12" s="32"/>
    </row>
    <row r="13" s="4" customFormat="1" ht="42" customHeight="1" spans="1:5">
      <c r="A13" s="61"/>
      <c r="B13" s="56" t="s">
        <v>75</v>
      </c>
      <c r="C13" s="57" t="s">
        <v>65</v>
      </c>
      <c r="D13" s="72">
        <v>99663</v>
      </c>
      <c r="E13" s="32"/>
    </row>
    <row r="14" s="4" customFormat="1" ht="42" customHeight="1" spans="1:5">
      <c r="A14" s="61">
        <v>247</v>
      </c>
      <c r="B14" s="57" t="s">
        <v>76</v>
      </c>
      <c r="C14" s="57" t="s">
        <v>77</v>
      </c>
      <c r="D14" s="72">
        <v>2380</v>
      </c>
      <c r="E14" s="32"/>
    </row>
    <row r="15" s="4" customFormat="1" ht="42" customHeight="1" spans="1:5">
      <c r="A15" s="61"/>
      <c r="B15" s="57" t="s">
        <v>78</v>
      </c>
      <c r="C15" s="57" t="s">
        <v>79</v>
      </c>
      <c r="D15" s="72">
        <v>28748</v>
      </c>
      <c r="E15" s="32"/>
    </row>
    <row r="16" s="4" customFormat="1" ht="42" customHeight="1" spans="1:5">
      <c r="A16" s="61"/>
      <c r="B16" s="57" t="s">
        <v>80</v>
      </c>
      <c r="C16" s="57" t="s">
        <v>79</v>
      </c>
      <c r="D16" s="72">
        <v>22730</v>
      </c>
      <c r="E16" s="32"/>
    </row>
    <row r="17" s="4" customFormat="1" ht="42" customHeight="1" spans="1:5">
      <c r="A17" s="61"/>
      <c r="B17" s="57" t="s">
        <v>81</v>
      </c>
      <c r="C17" s="57" t="s">
        <v>79</v>
      </c>
      <c r="D17" s="72">
        <v>21572</v>
      </c>
      <c r="E17" s="32"/>
    </row>
    <row r="18" s="4" customFormat="1" ht="42" customHeight="1" spans="1:5">
      <c r="A18" s="61"/>
      <c r="B18" s="57" t="s">
        <v>50</v>
      </c>
      <c r="C18" s="57" t="s">
        <v>51</v>
      </c>
      <c r="D18" s="72">
        <v>39209</v>
      </c>
      <c r="E18" s="32"/>
    </row>
    <row r="19" s="4" customFormat="1" ht="42" customHeight="1" spans="1:5">
      <c r="A19" s="61">
        <v>252</v>
      </c>
      <c r="B19" s="71" t="s">
        <v>41</v>
      </c>
      <c r="C19" s="57" t="s">
        <v>8</v>
      </c>
      <c r="D19" s="68">
        <v>39296</v>
      </c>
      <c r="E19" s="73" t="s">
        <v>82</v>
      </c>
    </row>
    <row r="20" s="4" customFormat="1" ht="42" customHeight="1" spans="1:5">
      <c r="A20" s="61"/>
      <c r="B20" s="71" t="s">
        <v>61</v>
      </c>
      <c r="C20" s="57" t="s">
        <v>32</v>
      </c>
      <c r="D20" s="68">
        <v>8046</v>
      </c>
      <c r="E20" s="74"/>
    </row>
    <row r="21" s="4" customFormat="1" ht="42" customHeight="1" spans="1:5">
      <c r="A21" s="61"/>
      <c r="B21" s="71" t="s">
        <v>83</v>
      </c>
      <c r="C21" s="57" t="s">
        <v>32</v>
      </c>
      <c r="D21" s="68">
        <v>24728</v>
      </c>
      <c r="E21" s="74"/>
    </row>
    <row r="22" s="4" customFormat="1" ht="42" customHeight="1" spans="1:5">
      <c r="A22" s="61"/>
      <c r="B22" s="56" t="s">
        <v>84</v>
      </c>
      <c r="C22" s="57" t="s">
        <v>8</v>
      </c>
      <c r="D22" s="72">
        <v>339769</v>
      </c>
      <c r="E22" s="74"/>
    </row>
    <row r="23" s="4" customFormat="1" ht="42" customHeight="1" spans="1:5">
      <c r="A23" s="61"/>
      <c r="B23" s="56" t="s">
        <v>85</v>
      </c>
      <c r="C23" s="57" t="s">
        <v>8</v>
      </c>
      <c r="D23" s="72">
        <v>13471</v>
      </c>
      <c r="E23" s="74"/>
    </row>
    <row r="24" s="4" customFormat="1" ht="42" customHeight="1" spans="1:5">
      <c r="A24" s="61"/>
      <c r="B24" s="56" t="s">
        <v>86</v>
      </c>
      <c r="C24" s="57" t="s">
        <v>8</v>
      </c>
      <c r="D24" s="72">
        <v>16326</v>
      </c>
      <c r="E24" s="74"/>
    </row>
    <row r="25" s="4" customFormat="1" ht="42" customHeight="1" spans="1:5">
      <c r="A25" s="61"/>
      <c r="B25" s="56" t="s">
        <v>87</v>
      </c>
      <c r="C25" s="57" t="s">
        <v>32</v>
      </c>
      <c r="D25" s="72">
        <v>179086</v>
      </c>
      <c r="E25" s="74"/>
    </row>
    <row r="26" s="4" customFormat="1" ht="42" customHeight="1" spans="1:5">
      <c r="A26" s="61">
        <v>263</v>
      </c>
      <c r="B26" s="57" t="s">
        <v>88</v>
      </c>
      <c r="C26" s="57" t="s">
        <v>38</v>
      </c>
      <c r="D26" s="68">
        <v>76729</v>
      </c>
      <c r="E26" s="74"/>
    </row>
    <row r="27" s="4" customFormat="1" ht="42" customHeight="1" spans="1:5">
      <c r="A27" s="61"/>
      <c r="B27" s="57" t="s">
        <v>89</v>
      </c>
      <c r="C27" s="57" t="s">
        <v>90</v>
      </c>
      <c r="D27" s="68">
        <v>61322</v>
      </c>
      <c r="E27" s="74"/>
    </row>
    <row r="28" s="4" customFormat="1" ht="42" customHeight="1" spans="1:5">
      <c r="A28" s="61"/>
      <c r="B28" s="57" t="s">
        <v>91</v>
      </c>
      <c r="C28" s="57" t="s">
        <v>17</v>
      </c>
      <c r="D28" s="72">
        <v>65131</v>
      </c>
      <c r="E28" s="74"/>
    </row>
    <row r="29" s="4" customFormat="1" ht="42" customHeight="1" spans="1:5">
      <c r="A29" s="52"/>
      <c r="B29" s="52"/>
      <c r="C29" s="52"/>
      <c r="D29" s="75">
        <f>SUM(D5:D28)</f>
        <v>1220290</v>
      </c>
      <c r="E29" s="76"/>
    </row>
  </sheetData>
  <mergeCells count="8">
    <mergeCell ref="A1:D1"/>
    <mergeCell ref="A3:E3"/>
    <mergeCell ref="A5:A13"/>
    <mergeCell ref="A14:A18"/>
    <mergeCell ref="A19:A25"/>
    <mergeCell ref="A26:A28"/>
    <mergeCell ref="E5:E18"/>
    <mergeCell ref="E19:E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85" zoomScaleNormal="85" workbookViewId="0">
      <selection activeCell="A5" sqref="A5"/>
    </sheetView>
  </sheetViews>
  <sheetFormatPr defaultColWidth="8.72727272727273" defaultRowHeight="14" outlineLevelCol="6"/>
  <cols>
    <col min="1" max="2" width="27.3727272727273" style="4" customWidth="1"/>
    <col min="3" max="3" width="70.0454545454545" style="4" customWidth="1"/>
    <col min="4" max="5" width="20.7363636363636" style="5" customWidth="1"/>
    <col min="6" max="6" width="32.1909090909091" style="4" customWidth="1"/>
    <col min="7" max="7" width="15.7181818181818" style="4" customWidth="1"/>
    <col min="8" max="16384" width="8.72727272727273" style="4"/>
  </cols>
  <sheetData>
    <row r="1" s="4" customFormat="1" ht="52" customHeight="1" spans="1:7">
      <c r="A1" s="6" t="s">
        <v>92</v>
      </c>
      <c r="B1" s="6"/>
      <c r="C1" s="6"/>
      <c r="D1" s="7"/>
      <c r="E1" s="7"/>
    </row>
    <row r="2" s="4" customFormat="1" ht="42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93</v>
      </c>
      <c r="G2" s="8" t="s">
        <v>94</v>
      </c>
    </row>
    <row r="3" s="4" customFormat="1" ht="42" customHeight="1" spans="1:7">
      <c r="A3" s="47" t="s">
        <v>95</v>
      </c>
      <c r="B3" s="48" t="s">
        <v>96</v>
      </c>
      <c r="C3" s="49" t="s">
        <v>97</v>
      </c>
      <c r="D3" s="8" t="s">
        <v>98</v>
      </c>
      <c r="E3" s="50"/>
      <c r="F3" s="51" t="s">
        <v>99</v>
      </c>
      <c r="G3" s="8" t="s">
        <v>100</v>
      </c>
    </row>
    <row r="4" s="4" customFormat="1" ht="36" customHeight="1" spans="1:7">
      <c r="A4" s="47"/>
      <c r="B4" s="48" t="s">
        <v>101</v>
      </c>
      <c r="C4" s="49" t="s">
        <v>102</v>
      </c>
      <c r="D4" s="8" t="s">
        <v>103</v>
      </c>
      <c r="E4" s="50"/>
      <c r="F4" s="51" t="s">
        <v>104</v>
      </c>
      <c r="G4" s="8" t="s">
        <v>100</v>
      </c>
    </row>
    <row r="5" s="4" customFormat="1" ht="42" customHeight="1" spans="1:7">
      <c r="A5" s="47"/>
      <c r="B5" s="48" t="s">
        <v>105</v>
      </c>
      <c r="C5" s="49" t="s">
        <v>106</v>
      </c>
      <c r="D5" s="8" t="s">
        <v>107</v>
      </c>
      <c r="E5" s="50"/>
      <c r="F5" s="52"/>
      <c r="G5" s="8" t="s">
        <v>100</v>
      </c>
    </row>
    <row r="6" s="4" customFormat="1" ht="42" customHeight="1" spans="1:7">
      <c r="A6" s="47"/>
      <c r="B6" s="48" t="s">
        <v>75</v>
      </c>
      <c r="C6" s="49" t="s">
        <v>108</v>
      </c>
      <c r="D6" s="8" t="s">
        <v>103</v>
      </c>
      <c r="E6" s="50"/>
      <c r="F6" s="52"/>
      <c r="G6" s="8" t="s">
        <v>100</v>
      </c>
    </row>
    <row r="7" s="4" customFormat="1" ht="42" customHeight="1" spans="1:7">
      <c r="A7" s="47"/>
      <c r="B7" s="53" t="s">
        <v>109</v>
      </c>
      <c r="C7" s="54" t="s">
        <v>110</v>
      </c>
      <c r="D7" s="8" t="s">
        <v>111</v>
      </c>
      <c r="E7" s="50"/>
      <c r="F7" s="52"/>
      <c r="G7" s="55"/>
    </row>
    <row r="8" s="4" customFormat="1" ht="42" customHeight="1" spans="1:7">
      <c r="A8" s="47"/>
      <c r="B8" s="53" t="s">
        <v>112</v>
      </c>
      <c r="C8" s="54" t="s">
        <v>113</v>
      </c>
      <c r="D8" s="8" t="s">
        <v>103</v>
      </c>
      <c r="E8" s="50"/>
      <c r="F8" s="52"/>
      <c r="G8" s="55"/>
    </row>
    <row r="9" s="4" customFormat="1" ht="42" customHeight="1" spans="1:7">
      <c r="A9" s="47"/>
      <c r="B9" s="53" t="s">
        <v>114</v>
      </c>
      <c r="C9" s="54" t="s">
        <v>115</v>
      </c>
      <c r="D9" s="8" t="s">
        <v>103</v>
      </c>
      <c r="E9" s="50"/>
      <c r="F9" s="52"/>
      <c r="G9" s="55"/>
    </row>
    <row r="10" s="4" customFormat="1" ht="42" customHeight="1" spans="1:7">
      <c r="A10" s="47"/>
      <c r="B10" s="53" t="s">
        <v>116</v>
      </c>
      <c r="C10" s="54" t="s">
        <v>117</v>
      </c>
      <c r="D10" s="8">
        <v>3830</v>
      </c>
      <c r="E10" s="50"/>
      <c r="F10" s="52"/>
      <c r="G10" s="55"/>
    </row>
    <row r="11" s="4" customFormat="1" ht="42" customHeight="1" spans="1:7">
      <c r="A11" s="47"/>
      <c r="B11" s="56" t="s">
        <v>118</v>
      </c>
      <c r="C11" s="57" t="s">
        <v>119</v>
      </c>
      <c r="D11" s="8" t="s">
        <v>111</v>
      </c>
      <c r="E11" s="50"/>
      <c r="F11" s="52"/>
      <c r="G11" s="55"/>
    </row>
    <row r="12" s="4" customFormat="1" ht="42" customHeight="1" spans="1:7">
      <c r="A12" s="47"/>
      <c r="B12" s="56" t="s">
        <v>120</v>
      </c>
      <c r="C12" s="57" t="s">
        <v>121</v>
      </c>
      <c r="D12" s="8">
        <v>3828</v>
      </c>
      <c r="E12" s="50"/>
      <c r="F12" s="52"/>
      <c r="G12" s="55"/>
    </row>
    <row r="13" s="4" customFormat="1" ht="42" customHeight="1" spans="1:7">
      <c r="A13" s="47"/>
      <c r="B13" s="56" t="s">
        <v>122</v>
      </c>
      <c r="C13" s="57" t="s">
        <v>123</v>
      </c>
      <c r="D13" s="8">
        <v>7561</v>
      </c>
      <c r="E13" s="50"/>
      <c r="F13" s="52"/>
      <c r="G13" s="55"/>
    </row>
    <row r="14" s="4" customFormat="1" ht="42" customHeight="1" spans="1:7">
      <c r="A14" s="47"/>
      <c r="B14" s="56" t="s">
        <v>124</v>
      </c>
      <c r="C14" s="57" t="s">
        <v>125</v>
      </c>
      <c r="D14" s="8">
        <v>7669</v>
      </c>
      <c r="E14" s="50"/>
      <c r="F14" s="52"/>
      <c r="G14" s="55"/>
    </row>
    <row r="15" s="4" customFormat="1" ht="42" customHeight="1" spans="1:7">
      <c r="A15" s="47"/>
      <c r="B15" s="56" t="s">
        <v>126</v>
      </c>
      <c r="C15" s="57" t="s">
        <v>127</v>
      </c>
      <c r="D15" s="8">
        <v>8919</v>
      </c>
      <c r="E15" s="50"/>
      <c r="F15" s="52"/>
      <c r="G15" s="55"/>
    </row>
    <row r="16" s="4" customFormat="1" ht="42" customHeight="1" spans="1:7">
      <c r="A16" s="47"/>
      <c r="B16" s="56" t="s">
        <v>112</v>
      </c>
      <c r="C16" s="57" t="s">
        <v>128</v>
      </c>
      <c r="D16" s="8">
        <v>3840</v>
      </c>
      <c r="E16" s="50"/>
      <c r="F16" s="52"/>
      <c r="G16" s="55"/>
    </row>
    <row r="17" s="4" customFormat="1" ht="42" customHeight="1" spans="1:7">
      <c r="A17" s="58" t="s">
        <v>129</v>
      </c>
      <c r="B17" s="56" t="s">
        <v>130</v>
      </c>
      <c r="C17" s="57" t="s">
        <v>131</v>
      </c>
      <c r="D17" s="8" t="s">
        <v>132</v>
      </c>
      <c r="E17" s="50"/>
      <c r="F17" s="52"/>
      <c r="G17" s="55"/>
    </row>
    <row r="18" s="4" customFormat="1" ht="42" customHeight="1" spans="1:7">
      <c r="A18" s="59"/>
      <c r="B18" s="56" t="s">
        <v>133</v>
      </c>
      <c r="C18" s="57" t="s">
        <v>134</v>
      </c>
      <c r="D18" s="8" t="s">
        <v>135</v>
      </c>
      <c r="E18" s="50"/>
      <c r="F18" s="52"/>
      <c r="G18" s="55"/>
    </row>
    <row r="19" s="4" customFormat="1" ht="36" customHeight="1" spans="1:7">
      <c r="A19" s="60"/>
      <c r="B19" s="56" t="s">
        <v>136</v>
      </c>
      <c r="C19" s="57" t="s">
        <v>137</v>
      </c>
      <c r="D19" s="8" t="s">
        <v>138</v>
      </c>
      <c r="E19" s="50"/>
      <c r="F19" s="52"/>
      <c r="G19" s="55"/>
    </row>
    <row r="20" s="4" customFormat="1" ht="36" customHeight="1" spans="1:7">
      <c r="A20" s="59"/>
      <c r="B20" s="56" t="s">
        <v>139</v>
      </c>
      <c r="C20" s="57" t="s">
        <v>140</v>
      </c>
      <c r="D20" s="8" t="s">
        <v>141</v>
      </c>
      <c r="E20" s="50"/>
      <c r="F20" s="52"/>
      <c r="G20" s="55"/>
    </row>
    <row r="21" s="4" customFormat="1" ht="36" customHeight="1" spans="1:7">
      <c r="A21" s="59"/>
      <c r="B21" s="56" t="s">
        <v>142</v>
      </c>
      <c r="C21" s="57" t="s">
        <v>143</v>
      </c>
      <c r="D21" s="8" t="s">
        <v>144</v>
      </c>
      <c r="E21" s="50"/>
      <c r="F21" s="52"/>
      <c r="G21" s="55"/>
    </row>
    <row r="22" s="4" customFormat="1" ht="36" customHeight="1" spans="1:7">
      <c r="A22" s="59"/>
      <c r="B22" s="56" t="s">
        <v>145</v>
      </c>
      <c r="C22" s="57" t="s">
        <v>146</v>
      </c>
      <c r="D22" s="8" t="s">
        <v>147</v>
      </c>
      <c r="E22" s="50"/>
      <c r="F22" s="52"/>
      <c r="G22" s="55"/>
    </row>
    <row r="23" s="4" customFormat="1" ht="36" customHeight="1" spans="1:7">
      <c r="A23" s="47"/>
      <c r="B23" s="53" t="s">
        <v>148</v>
      </c>
      <c r="C23" s="54" t="s">
        <v>45</v>
      </c>
      <c r="D23" s="8" t="s">
        <v>149</v>
      </c>
      <c r="E23" s="50"/>
      <c r="F23" s="52"/>
      <c r="G23" s="55"/>
    </row>
    <row r="24" s="4" customFormat="1" ht="36" customHeight="1" spans="1:7">
      <c r="A24" s="47"/>
      <c r="B24" s="53" t="s">
        <v>150</v>
      </c>
      <c r="C24" s="54" t="s">
        <v>151</v>
      </c>
      <c r="D24" s="8">
        <v>26830</v>
      </c>
      <c r="E24" s="50"/>
      <c r="F24" s="52"/>
      <c r="G24" s="55"/>
    </row>
    <row r="25" s="4" customFormat="1" ht="36" customHeight="1" spans="1:7">
      <c r="A25" s="47"/>
      <c r="B25" s="53" t="s">
        <v>152</v>
      </c>
      <c r="C25" s="54" t="s">
        <v>153</v>
      </c>
      <c r="D25" s="8">
        <v>28477</v>
      </c>
      <c r="E25" s="50"/>
      <c r="F25" s="52"/>
      <c r="G25" s="55"/>
    </row>
    <row r="26" s="4" customFormat="1" ht="36" customHeight="1" spans="1:7">
      <c r="A26" s="47"/>
      <c r="B26" s="53" t="s">
        <v>154</v>
      </c>
      <c r="C26" s="54" t="s">
        <v>155</v>
      </c>
      <c r="D26" s="8">
        <v>38370</v>
      </c>
      <c r="E26" s="50"/>
      <c r="F26" s="52"/>
      <c r="G26" s="55"/>
    </row>
    <row r="27" s="4" customFormat="1" ht="36" customHeight="1" spans="1:7">
      <c r="A27" s="47"/>
      <c r="B27" s="53" t="s">
        <v>156</v>
      </c>
      <c r="C27" s="54" t="s">
        <v>155</v>
      </c>
      <c r="D27" s="8">
        <v>15345</v>
      </c>
      <c r="E27" s="50"/>
      <c r="F27" s="52"/>
      <c r="G27" s="55"/>
    </row>
    <row r="28" s="4" customFormat="1" ht="36" customHeight="1" spans="1:7">
      <c r="A28" s="47"/>
      <c r="B28" s="53" t="s">
        <v>157</v>
      </c>
      <c r="C28" s="54" t="s">
        <v>155</v>
      </c>
      <c r="D28" s="8">
        <v>49848</v>
      </c>
      <c r="E28" s="50"/>
      <c r="F28" s="52"/>
      <c r="G28" s="55"/>
    </row>
    <row r="29" s="4" customFormat="1" ht="36" customHeight="1" spans="1:7">
      <c r="A29" s="47"/>
      <c r="B29" s="53" t="s">
        <v>158</v>
      </c>
      <c r="C29" s="54" t="s">
        <v>155</v>
      </c>
      <c r="D29" s="8">
        <v>11494</v>
      </c>
      <c r="E29" s="50"/>
      <c r="F29" s="52"/>
      <c r="G29" s="55"/>
    </row>
    <row r="30" s="4" customFormat="1" ht="36" customHeight="1" spans="1:7">
      <c r="A30" s="47"/>
      <c r="B30" s="53" t="s">
        <v>159</v>
      </c>
      <c r="C30" s="54" t="s">
        <v>160</v>
      </c>
      <c r="D30" s="8">
        <v>57524</v>
      </c>
      <c r="E30" s="50"/>
      <c r="F30" s="52"/>
      <c r="G30" s="55"/>
    </row>
    <row r="31" s="4" customFormat="1" ht="42" customHeight="1" spans="1:7">
      <c r="A31" s="47"/>
      <c r="B31" s="56" t="s">
        <v>161</v>
      </c>
      <c r="C31" s="57" t="s">
        <v>160</v>
      </c>
      <c r="D31" s="8">
        <v>36559</v>
      </c>
      <c r="E31" s="50"/>
      <c r="F31" s="52"/>
      <c r="G31" s="55"/>
    </row>
    <row r="32" s="4" customFormat="1" ht="42" customHeight="1" spans="1:7">
      <c r="A32" s="47"/>
      <c r="B32" s="56" t="s">
        <v>162</v>
      </c>
      <c r="C32" s="57" t="s">
        <v>163</v>
      </c>
      <c r="D32" s="8">
        <v>15297</v>
      </c>
      <c r="E32" s="50"/>
      <c r="F32" s="52"/>
      <c r="G32" s="55"/>
    </row>
    <row r="33" s="4" customFormat="1" ht="42" customHeight="1" spans="1:7">
      <c r="A33" s="47"/>
      <c r="B33" s="56" t="s">
        <v>164</v>
      </c>
      <c r="C33" s="57" t="s">
        <v>163</v>
      </c>
      <c r="D33" s="8">
        <v>12793</v>
      </c>
      <c r="E33" s="50"/>
      <c r="F33" s="52"/>
      <c r="G33" s="55"/>
    </row>
    <row r="34" s="4" customFormat="1" ht="42" customHeight="1" spans="1:7">
      <c r="A34" s="47"/>
      <c r="B34" s="56" t="s">
        <v>165</v>
      </c>
      <c r="C34" s="57" t="s">
        <v>163</v>
      </c>
      <c r="D34" s="8">
        <v>11461</v>
      </c>
      <c r="E34" s="50"/>
      <c r="F34" s="52"/>
      <c r="G34" s="55"/>
    </row>
    <row r="35" s="4" customFormat="1" ht="42" customHeight="1" spans="1:7">
      <c r="A35" s="47"/>
      <c r="B35" s="56" t="s">
        <v>166</v>
      </c>
      <c r="C35" s="57" t="s">
        <v>163</v>
      </c>
      <c r="D35" s="8">
        <v>15327</v>
      </c>
      <c r="E35" s="50"/>
      <c r="F35" s="52"/>
      <c r="G35" s="55"/>
    </row>
    <row r="36" s="4" customFormat="1" ht="42" customHeight="1" spans="1:7">
      <c r="A36" s="47"/>
      <c r="B36" s="56" t="s">
        <v>167</v>
      </c>
      <c r="C36" s="57" t="s">
        <v>168</v>
      </c>
      <c r="D36" s="8">
        <v>19154</v>
      </c>
      <c r="E36" s="50"/>
      <c r="F36" s="52"/>
      <c r="G36" s="55"/>
    </row>
    <row r="37" s="4" customFormat="1" ht="42" customHeight="1" spans="1:7">
      <c r="A37" s="47"/>
      <c r="B37" s="56" t="s">
        <v>169</v>
      </c>
      <c r="C37" s="57" t="s">
        <v>168</v>
      </c>
      <c r="D37" s="8">
        <v>14436</v>
      </c>
      <c r="E37" s="50"/>
      <c r="F37" s="52"/>
      <c r="G37" s="55"/>
    </row>
    <row r="38" s="4" customFormat="1" ht="42" customHeight="1" spans="1:7">
      <c r="A38" s="47"/>
      <c r="B38" s="56" t="s">
        <v>170</v>
      </c>
      <c r="C38" s="57" t="s">
        <v>171</v>
      </c>
      <c r="D38" s="8">
        <v>14458</v>
      </c>
      <c r="E38" s="50"/>
      <c r="F38" s="52"/>
      <c r="G38" s="55"/>
    </row>
    <row r="39" s="4" customFormat="1" ht="42" customHeight="1" spans="1:7">
      <c r="A39" s="47"/>
      <c r="B39" s="56" t="s">
        <v>172</v>
      </c>
      <c r="C39" s="57" t="s">
        <v>171</v>
      </c>
      <c r="D39" s="8">
        <v>15335</v>
      </c>
      <c r="E39" s="50"/>
      <c r="F39" s="52"/>
      <c r="G39" s="55"/>
    </row>
    <row r="40" s="4" customFormat="1" ht="42" customHeight="1" spans="1:7">
      <c r="A40" s="47">
        <v>263</v>
      </c>
      <c r="B40" s="56" t="s">
        <v>173</v>
      </c>
      <c r="C40" s="57" t="s">
        <v>174</v>
      </c>
      <c r="D40" s="8">
        <v>92115</v>
      </c>
      <c r="E40" s="50"/>
      <c r="F40" s="52"/>
      <c r="G40" s="55"/>
    </row>
    <row r="41" s="4" customFormat="1" ht="42" customHeight="1" spans="1:7">
      <c r="A41" s="47"/>
      <c r="B41" s="56" t="s">
        <v>175</v>
      </c>
      <c r="C41" s="57" t="s">
        <v>176</v>
      </c>
      <c r="D41" s="8">
        <v>62356</v>
      </c>
      <c r="E41" s="50"/>
      <c r="F41" s="52"/>
      <c r="G41" s="55"/>
    </row>
    <row r="42" s="4" customFormat="1" ht="42" customHeight="1" spans="1:7">
      <c r="A42" s="47"/>
      <c r="B42" s="56" t="s">
        <v>177</v>
      </c>
      <c r="C42" s="57" t="s">
        <v>178</v>
      </c>
      <c r="D42" s="8">
        <v>26763</v>
      </c>
      <c r="E42" s="50"/>
      <c r="F42" s="52"/>
      <c r="G42" s="55"/>
    </row>
    <row r="43" s="4" customFormat="1" ht="42" customHeight="1" spans="1:7">
      <c r="A43" s="47"/>
      <c r="B43" s="56" t="s">
        <v>179</v>
      </c>
      <c r="C43" s="57" t="s">
        <v>180</v>
      </c>
      <c r="D43" s="8">
        <v>42136</v>
      </c>
      <c r="E43" s="50"/>
      <c r="F43" s="52"/>
      <c r="G43" s="55"/>
    </row>
    <row r="44" s="4" customFormat="1" ht="42" customHeight="1" spans="1:7">
      <c r="A44" s="61" t="s">
        <v>181</v>
      </c>
      <c r="B44" s="56" t="s">
        <v>182</v>
      </c>
      <c r="C44" s="57" t="s">
        <v>183</v>
      </c>
      <c r="D44" s="8">
        <v>8672</v>
      </c>
      <c r="E44" s="50"/>
      <c r="F44" s="52"/>
      <c r="G44" s="55"/>
    </row>
    <row r="45" s="4" customFormat="1" ht="42" customHeight="1" spans="1:7">
      <c r="A45" s="61"/>
      <c r="B45" s="56" t="s">
        <v>184</v>
      </c>
      <c r="C45" s="57" t="s">
        <v>185</v>
      </c>
      <c r="D45" s="8">
        <v>60383</v>
      </c>
      <c r="E45" s="50"/>
      <c r="F45" s="52"/>
      <c r="G45" s="55"/>
    </row>
    <row r="46" s="4" customFormat="1" ht="42" customHeight="1" spans="1:7">
      <c r="A46" s="61"/>
      <c r="B46" s="56" t="s">
        <v>186</v>
      </c>
      <c r="C46" s="57" t="s">
        <v>187</v>
      </c>
      <c r="D46" s="8">
        <v>2879</v>
      </c>
      <c r="E46" s="50"/>
      <c r="F46" s="52"/>
      <c r="G46" s="55"/>
    </row>
    <row r="47" s="4" customFormat="1" ht="42" customHeight="1" spans="1:7">
      <c r="A47" s="61">
        <v>247</v>
      </c>
      <c r="B47" s="56" t="s">
        <v>188</v>
      </c>
      <c r="C47" s="57" t="s">
        <v>189</v>
      </c>
      <c r="D47" s="8">
        <v>19187</v>
      </c>
      <c r="E47" s="50"/>
      <c r="F47" s="52"/>
      <c r="G47" s="55"/>
    </row>
    <row r="48" s="4" customFormat="1" ht="42" customHeight="1" spans="1:7">
      <c r="A48" s="61"/>
      <c r="B48" s="54" t="s">
        <v>190</v>
      </c>
      <c r="C48" s="54" t="s">
        <v>51</v>
      </c>
      <c r="D48" s="8">
        <v>7184</v>
      </c>
      <c r="E48" s="50"/>
      <c r="F48" s="52"/>
      <c r="G48" s="55"/>
    </row>
    <row r="49" s="4" customFormat="1" ht="42" customHeight="1" spans="1:7">
      <c r="A49" s="61"/>
      <c r="B49" s="54" t="s">
        <v>191</v>
      </c>
      <c r="C49" s="54" t="s">
        <v>192</v>
      </c>
      <c r="D49" s="8">
        <v>32308</v>
      </c>
      <c r="E49" s="50"/>
      <c r="F49" s="52"/>
      <c r="G49" s="55"/>
    </row>
    <row r="50" ht="32" spans="1:7">
      <c r="D50" s="62">
        <f>SUM(D3:D49)</f>
        <v>772338</v>
      </c>
    </row>
  </sheetData>
  <mergeCells count="3">
    <mergeCell ref="A1:D1"/>
    <mergeCell ref="A44:A46"/>
    <mergeCell ref="A47:A49"/>
  </mergeCells>
  <hyperlinks>
    <hyperlink ref="B6" r:id="rId1" display="HWE34Q260117"/>
    <hyperlink ref="B5" r:id="rId2" display="HWE54Q260151"/>
    <hyperlink ref="B7" r:id="rId3" display="HWE46Q260109"/>
    <hyperlink ref="D23" r:id="rId4" display="46011"/>
    <hyperlink ref="D24" r:id="rId5" display="26830"/>
    <hyperlink ref="D25" r:id="rId6" display="28477"/>
    <hyperlink ref="B23" r:id="rId7" display="HWE24Q269986A"/>
    <hyperlink ref="B24" r:id="rId8" display="HWE46Q260146"/>
    <hyperlink ref="B25" r:id="rId9" display="HWE34Q260147"/>
    <hyperlink ref="D40" r:id="rId10" display="92115"/>
    <hyperlink ref="D41" r:id="rId11" display="62356"/>
    <hyperlink ref="D42" r:id="rId12" display="26763"/>
    <hyperlink ref="D43" r:id="rId13" display="42136"/>
    <hyperlink ref="B40" r:id="rId14" display="HWE17JB260077"/>
    <hyperlink ref="B41" r:id="rId15" display="HWE24JB260083"/>
    <hyperlink ref="B42" r:id="rId16" display="HWE28JB269999A"/>
    <hyperlink ref="B43" r:id="rId17" display="HWE21JB260128"/>
    <hyperlink ref="D44" r:id="rId18" display="8672"/>
    <hyperlink ref="D45" r:id="rId19" display="60383"/>
    <hyperlink ref="D46" r:id="rId20" display="2879"/>
    <hyperlink ref="B44" r:id="rId21" display="SLW49F260108"/>
    <hyperlink ref="B45" r:id="rId22" display="SLW38F260226"/>
    <hyperlink ref="B46" r:id="rId23" display="SLW40F260106"/>
    <hyperlink ref="D47" r:id="rId24" display="19187"/>
    <hyperlink ref="D48" r:id="rId25" display="7184"/>
    <hyperlink ref="D49" r:id="rId26" display="32308"/>
    <hyperlink ref="B47" r:id="rId27" display="HWE28P260070"/>
    <hyperlink ref="B48" r:id="rId28" display="HWE59P260047"/>
    <hyperlink ref="B49" r:id="rId29" display="HWE56P260074"/>
  </hyperlink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zoomScale="85" zoomScaleNormal="85" workbookViewId="0">
      <selection activeCell="F67" sqref="A1:F67"/>
    </sheetView>
  </sheetViews>
  <sheetFormatPr defaultColWidth="8.72727272727273" defaultRowHeight="14" outlineLevelCol="5"/>
  <cols>
    <col min="1" max="1" width="27.3727272727273" style="23" customWidth="1"/>
    <col min="2" max="2" width="27.3727272727273" style="5" customWidth="1"/>
    <col min="3" max="3" width="71.4454545454546" style="5" customWidth="1"/>
    <col min="4" max="4" width="20.7363636363636" style="5" customWidth="1"/>
    <col min="5" max="5" width="26.6272727272727" style="4" customWidth="1"/>
    <col min="6" max="6" width="35.5090909090909" style="4" customWidth="1"/>
    <col min="7" max="16384" width="8.72727272727273" style="4"/>
  </cols>
  <sheetData>
    <row r="1" s="4" customFormat="1" ht="52" customHeight="1" spans="1:6">
      <c r="A1" s="6" t="s">
        <v>193</v>
      </c>
      <c r="B1" s="7"/>
      <c r="C1" s="7"/>
      <c r="D1" s="7"/>
    </row>
    <row r="2" s="4" customFormat="1" ht="42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194</v>
      </c>
    </row>
    <row r="3" s="22" customFormat="1" ht="39" customHeight="1" spans="1:6">
      <c r="A3" s="24" t="s">
        <v>195</v>
      </c>
      <c r="B3" s="25" t="s">
        <v>196</v>
      </c>
      <c r="C3" s="25" t="s">
        <v>197</v>
      </c>
      <c r="D3" s="26" t="s">
        <v>198</v>
      </c>
      <c r="E3" s="27" t="s">
        <v>199</v>
      </c>
    </row>
    <row r="4" s="22" customFormat="1" ht="39" customHeight="1" spans="1:6">
      <c r="A4" s="28"/>
      <c r="B4" s="29" t="s">
        <v>200</v>
      </c>
      <c r="C4" s="29" t="s">
        <v>201</v>
      </c>
      <c r="D4" s="29">
        <v>21495</v>
      </c>
      <c r="E4" s="27"/>
    </row>
    <row r="5" s="4" customFormat="1" ht="39" customHeight="1" spans="1:6">
      <c r="A5" s="8" t="s">
        <v>181</v>
      </c>
      <c r="B5" s="30" t="s">
        <v>202</v>
      </c>
      <c r="C5" s="31" t="s">
        <v>203</v>
      </c>
      <c r="D5" s="32">
        <v>5758</v>
      </c>
      <c r="E5" s="27"/>
      <c r="F5" s="20"/>
    </row>
    <row r="6" s="4" customFormat="1" ht="39" customHeight="1" spans="1:6">
      <c r="A6" s="33" t="s">
        <v>204</v>
      </c>
      <c r="B6" s="32" t="s">
        <v>205</v>
      </c>
      <c r="C6" s="32" t="s">
        <v>79</v>
      </c>
      <c r="D6" s="32">
        <v>5997</v>
      </c>
      <c r="E6" s="27"/>
      <c r="F6" s="20"/>
    </row>
    <row r="7" s="4" customFormat="1" ht="39" customHeight="1" spans="1:6">
      <c r="A7" s="34"/>
      <c r="B7" s="32" t="s">
        <v>206</v>
      </c>
      <c r="C7" s="32" t="s">
        <v>79</v>
      </c>
      <c r="D7" s="32">
        <v>27566</v>
      </c>
      <c r="E7" s="27"/>
      <c r="F7" s="20"/>
    </row>
    <row r="8" s="4" customFormat="1" ht="39" customHeight="1" spans="1:6">
      <c r="A8" s="34"/>
      <c r="B8" s="32" t="s">
        <v>207</v>
      </c>
      <c r="C8" s="32" t="s">
        <v>208</v>
      </c>
      <c r="D8" s="32">
        <v>2377</v>
      </c>
      <c r="E8" s="27"/>
      <c r="F8" s="20"/>
    </row>
    <row r="9" s="4" customFormat="1" ht="39" customHeight="1" spans="1:6">
      <c r="A9" s="34"/>
      <c r="B9" s="32" t="s">
        <v>209</v>
      </c>
      <c r="C9" s="32" t="s">
        <v>208</v>
      </c>
      <c r="D9" s="32">
        <v>19154</v>
      </c>
      <c r="E9" s="27"/>
      <c r="F9" s="20"/>
    </row>
    <row r="10" s="4" customFormat="1" ht="39" customHeight="1" spans="1:6">
      <c r="A10" s="34"/>
      <c r="B10" s="32" t="s">
        <v>210</v>
      </c>
      <c r="C10" s="32" t="s">
        <v>211</v>
      </c>
      <c r="D10" s="32">
        <v>26619</v>
      </c>
      <c r="E10" s="27"/>
      <c r="F10" s="20"/>
    </row>
    <row r="11" s="4" customFormat="1" ht="39" customHeight="1" spans="1:6">
      <c r="A11" s="34"/>
      <c r="B11" s="32" t="s">
        <v>212</v>
      </c>
      <c r="C11" s="32" t="s">
        <v>213</v>
      </c>
      <c r="D11" s="32">
        <v>2877</v>
      </c>
      <c r="E11" s="27"/>
      <c r="F11" s="20"/>
    </row>
    <row r="12" s="4" customFormat="1" ht="39" customHeight="1" spans="1:6">
      <c r="A12" s="34"/>
      <c r="B12" s="32" t="s">
        <v>214</v>
      </c>
      <c r="C12" s="32" t="s">
        <v>213</v>
      </c>
      <c r="D12" s="32">
        <v>8487</v>
      </c>
      <c r="E12" s="27"/>
      <c r="F12" s="20"/>
    </row>
    <row r="13" s="4" customFormat="1" ht="39" customHeight="1" spans="1:6">
      <c r="A13" s="35"/>
      <c r="B13" s="30" t="s">
        <v>215</v>
      </c>
      <c r="C13" s="29" t="s">
        <v>216</v>
      </c>
      <c r="D13" s="32">
        <v>3600</v>
      </c>
      <c r="E13" s="27"/>
      <c r="F13" s="20"/>
    </row>
    <row r="14" s="4" customFormat="1" ht="39" customHeight="1" spans="1:6">
      <c r="A14" s="36" t="s">
        <v>217</v>
      </c>
      <c r="B14" s="37" t="s">
        <v>218</v>
      </c>
      <c r="C14" s="38" t="s">
        <v>219</v>
      </c>
      <c r="D14" s="29">
        <v>210797</v>
      </c>
      <c r="E14" s="27"/>
      <c r="F14" s="39"/>
    </row>
    <row r="15" s="4" customFormat="1" ht="39" customHeight="1" spans="1:6">
      <c r="A15" s="36"/>
      <c r="B15" s="37" t="s">
        <v>220</v>
      </c>
      <c r="C15" s="38" t="s">
        <v>221</v>
      </c>
      <c r="D15" s="29">
        <v>13308</v>
      </c>
      <c r="E15" s="27"/>
      <c r="F15" s="39"/>
    </row>
    <row r="16" s="4" customFormat="1" ht="39" customHeight="1" spans="1:6">
      <c r="A16" s="36"/>
      <c r="B16" s="37" t="s">
        <v>222</v>
      </c>
      <c r="C16" s="38" t="s">
        <v>223</v>
      </c>
      <c r="D16" s="29">
        <v>5068</v>
      </c>
      <c r="E16" s="27"/>
      <c r="F16" s="39"/>
    </row>
    <row r="17" s="4" customFormat="1" ht="39" customHeight="1" spans="1:6">
      <c r="A17" s="36"/>
      <c r="B17" s="37" t="s">
        <v>224</v>
      </c>
      <c r="C17" s="38" t="s">
        <v>32</v>
      </c>
      <c r="D17" s="29">
        <v>71621</v>
      </c>
      <c r="E17" s="27"/>
      <c r="F17" s="39"/>
    </row>
    <row r="18" s="4" customFormat="1" ht="39" customHeight="1" spans="1:6">
      <c r="A18" s="34" t="s">
        <v>225</v>
      </c>
      <c r="B18" s="37" t="s">
        <v>226</v>
      </c>
      <c r="C18" s="38" t="s">
        <v>38</v>
      </c>
      <c r="D18" s="29">
        <v>67873</v>
      </c>
      <c r="E18" s="27"/>
      <c r="F18" s="39"/>
    </row>
    <row r="19" s="4" customFormat="1" ht="39" customHeight="1" spans="1:6">
      <c r="A19" s="34"/>
      <c r="B19" s="37" t="s">
        <v>227</v>
      </c>
      <c r="C19" s="38" t="s">
        <v>176</v>
      </c>
      <c r="D19" s="29">
        <v>38364</v>
      </c>
      <c r="E19" s="27"/>
      <c r="F19" s="39"/>
    </row>
    <row r="20" s="4" customFormat="1" ht="39" customHeight="1" spans="1:6">
      <c r="A20" s="34"/>
      <c r="B20" s="37" t="s">
        <v>228</v>
      </c>
      <c r="C20" s="38" t="s">
        <v>20</v>
      </c>
      <c r="D20" s="29">
        <v>11497</v>
      </c>
      <c r="E20" s="27"/>
      <c r="F20" s="39"/>
    </row>
    <row r="21" s="4" customFormat="1" ht="39" customHeight="1" spans="1:6">
      <c r="A21" s="34"/>
      <c r="B21" s="37" t="s">
        <v>229</v>
      </c>
      <c r="C21" s="38" t="s">
        <v>22</v>
      </c>
      <c r="D21" s="29">
        <v>22974</v>
      </c>
      <c r="E21" s="27"/>
      <c r="F21" s="39"/>
    </row>
    <row r="22" s="4" customFormat="1" ht="39" customHeight="1" spans="1:6">
      <c r="A22" s="34"/>
      <c r="B22" s="37" t="s">
        <v>230</v>
      </c>
      <c r="C22" s="38" t="s">
        <v>90</v>
      </c>
      <c r="D22" s="29">
        <v>99750</v>
      </c>
      <c r="E22" s="27"/>
      <c r="F22" s="39"/>
    </row>
    <row r="23" s="4" customFormat="1" ht="39" customHeight="1" spans="1:6">
      <c r="A23" s="35"/>
      <c r="B23" s="37" t="s">
        <v>231</v>
      </c>
      <c r="C23" s="38" t="s">
        <v>232</v>
      </c>
      <c r="D23" s="29">
        <v>3829</v>
      </c>
      <c r="E23" s="27"/>
      <c r="F23" s="39"/>
    </row>
    <row r="24" s="4" customFormat="1" ht="39" customHeight="1" spans="1:6">
      <c r="A24" s="33" t="s">
        <v>95</v>
      </c>
      <c r="B24" s="37" t="s">
        <v>233</v>
      </c>
      <c r="C24" s="38" t="s">
        <v>234</v>
      </c>
      <c r="D24" s="29">
        <v>53698</v>
      </c>
      <c r="E24" s="27"/>
      <c r="F24" s="39"/>
    </row>
    <row r="25" s="4" customFormat="1" ht="39" customHeight="1" spans="1:6">
      <c r="A25" s="34"/>
      <c r="B25" s="37" t="s">
        <v>235</v>
      </c>
      <c r="C25" s="38" t="s">
        <v>236</v>
      </c>
      <c r="D25" s="29">
        <v>3831</v>
      </c>
      <c r="E25" s="27"/>
      <c r="F25" s="39"/>
    </row>
    <row r="26" s="4" customFormat="1" ht="39" customHeight="1" spans="1:6">
      <c r="A26" s="34"/>
      <c r="B26" s="30" t="s">
        <v>237</v>
      </c>
      <c r="C26" s="31" t="s">
        <v>238</v>
      </c>
      <c r="D26" s="32">
        <v>11511</v>
      </c>
      <c r="E26" s="27"/>
      <c r="F26" s="20"/>
    </row>
    <row r="27" s="4" customFormat="1" ht="39" customHeight="1" spans="1:6">
      <c r="A27" s="34"/>
      <c r="B27" s="32" t="s">
        <v>239</v>
      </c>
      <c r="C27" s="32" t="s">
        <v>65</v>
      </c>
      <c r="D27" s="32">
        <v>26833</v>
      </c>
      <c r="E27" s="27"/>
      <c r="F27" s="20"/>
    </row>
    <row r="28" s="4" customFormat="1" ht="39" customHeight="1" spans="1:6">
      <c r="A28" s="34"/>
      <c r="B28" s="32" t="s">
        <v>240</v>
      </c>
      <c r="C28" s="32" t="s">
        <v>35</v>
      </c>
      <c r="D28" s="32">
        <v>3828</v>
      </c>
      <c r="E28" s="27"/>
      <c r="F28" s="20"/>
    </row>
    <row r="29" s="4" customFormat="1" ht="39" customHeight="1" spans="1:6">
      <c r="A29" s="34"/>
      <c r="B29" s="32" t="s">
        <v>241</v>
      </c>
      <c r="C29" s="32" t="s">
        <v>14</v>
      </c>
      <c r="D29" s="32">
        <v>1421</v>
      </c>
      <c r="E29" s="27"/>
      <c r="F29" s="20"/>
    </row>
    <row r="30" s="4" customFormat="1" ht="39" customHeight="1" spans="1:6">
      <c r="A30" s="34"/>
      <c r="B30" s="32" t="s">
        <v>242</v>
      </c>
      <c r="C30" s="32" t="s">
        <v>151</v>
      </c>
      <c r="D30" s="32">
        <v>20988</v>
      </c>
      <c r="E30" s="27"/>
      <c r="F30" s="20"/>
    </row>
    <row r="31" ht="39" customHeight="1" spans="1:6">
      <c r="A31" s="34"/>
      <c r="B31" s="32" t="s">
        <v>243</v>
      </c>
      <c r="C31" s="32" t="s">
        <v>155</v>
      </c>
      <c r="D31" s="32">
        <v>7678</v>
      </c>
      <c r="E31" s="40" t="s">
        <v>244</v>
      </c>
      <c r="F31" s="41"/>
    </row>
    <row r="32" ht="39" customHeight="1" spans="1:6">
      <c r="A32" s="34"/>
      <c r="B32" s="32" t="s">
        <v>245</v>
      </c>
      <c r="C32" s="32" t="s">
        <v>155</v>
      </c>
      <c r="D32" s="32">
        <v>557</v>
      </c>
      <c r="E32" s="42"/>
      <c r="F32" s="41"/>
    </row>
    <row r="33" ht="39" customHeight="1" spans="1:6">
      <c r="A33" s="34"/>
      <c r="B33" s="32" t="s">
        <v>246</v>
      </c>
      <c r="C33" s="32" t="s">
        <v>155</v>
      </c>
      <c r="D33" s="32">
        <v>9315</v>
      </c>
      <c r="E33" s="42"/>
      <c r="F33" s="41"/>
    </row>
    <row r="34" ht="39" customHeight="1" spans="1:6">
      <c r="A34" s="34"/>
      <c r="B34" s="32" t="s">
        <v>247</v>
      </c>
      <c r="C34" s="32" t="s">
        <v>155</v>
      </c>
      <c r="D34" s="32">
        <v>19766</v>
      </c>
      <c r="E34" s="42"/>
      <c r="F34" s="41"/>
    </row>
    <row r="35" ht="39" customHeight="1" spans="1:6">
      <c r="A35" s="34"/>
      <c r="B35" s="32" t="s">
        <v>248</v>
      </c>
      <c r="C35" s="32" t="s">
        <v>57</v>
      </c>
      <c r="D35" s="32">
        <v>26838</v>
      </c>
      <c r="E35" s="42"/>
      <c r="F35" s="41"/>
    </row>
    <row r="36" ht="39" customHeight="1" spans="1:6">
      <c r="A36" s="34"/>
      <c r="B36" s="32" t="s">
        <v>249</v>
      </c>
      <c r="C36" s="32" t="s">
        <v>57</v>
      </c>
      <c r="D36" s="32">
        <v>4832</v>
      </c>
      <c r="E36" s="42"/>
      <c r="F36" s="41"/>
    </row>
    <row r="37" ht="39" customHeight="1" spans="1:6">
      <c r="A37" s="34"/>
      <c r="B37" s="32" t="s">
        <v>250</v>
      </c>
      <c r="C37" s="32" t="s">
        <v>57</v>
      </c>
      <c r="D37" s="32">
        <v>15346</v>
      </c>
      <c r="E37" s="42"/>
      <c r="F37" s="41"/>
    </row>
    <row r="38" ht="39" customHeight="1" spans="1:6">
      <c r="A38" s="34"/>
      <c r="B38" s="32" t="s">
        <v>251</v>
      </c>
      <c r="C38" s="32" t="s">
        <v>57</v>
      </c>
      <c r="D38" s="32">
        <v>16562</v>
      </c>
      <c r="E38" s="42"/>
      <c r="F38" s="41"/>
    </row>
    <row r="39" ht="39" customHeight="1" spans="1:6">
      <c r="A39" s="34"/>
      <c r="B39" s="32" t="s">
        <v>252</v>
      </c>
      <c r="C39" s="32" t="s">
        <v>57</v>
      </c>
      <c r="D39" s="32">
        <v>7679</v>
      </c>
      <c r="E39" s="42"/>
      <c r="F39" s="41"/>
    </row>
    <row r="40" ht="39" customHeight="1" spans="1:6">
      <c r="A40" s="34"/>
      <c r="B40" s="32" t="s">
        <v>253</v>
      </c>
      <c r="C40" s="32" t="s">
        <v>57</v>
      </c>
      <c r="D40" s="32">
        <v>4822</v>
      </c>
      <c r="E40" s="42"/>
      <c r="F40" s="41"/>
    </row>
    <row r="41" ht="39" customHeight="1" spans="1:6">
      <c r="A41" s="34"/>
      <c r="B41" s="32" t="s">
        <v>254</v>
      </c>
      <c r="C41" s="32" t="s">
        <v>160</v>
      </c>
      <c r="D41" s="32">
        <v>3840</v>
      </c>
      <c r="E41" s="42"/>
      <c r="F41" s="41"/>
    </row>
    <row r="42" ht="39" customHeight="1" spans="1:6">
      <c r="A42" s="34"/>
      <c r="B42" s="32" t="s">
        <v>255</v>
      </c>
      <c r="C42" s="32" t="s">
        <v>160</v>
      </c>
      <c r="D42" s="32">
        <v>7671</v>
      </c>
      <c r="E42" s="42"/>
      <c r="F42" s="41"/>
    </row>
    <row r="43" ht="39" customHeight="1" spans="1:6">
      <c r="A43" s="34"/>
      <c r="B43" s="32" t="s">
        <v>256</v>
      </c>
      <c r="C43" s="32" t="s">
        <v>168</v>
      </c>
      <c r="D43" s="32">
        <v>23009</v>
      </c>
      <c r="E43" s="42"/>
      <c r="F43" s="41"/>
    </row>
    <row r="44" ht="39" customHeight="1" spans="1:6">
      <c r="A44" s="34"/>
      <c r="B44" s="32" t="s">
        <v>257</v>
      </c>
      <c r="C44" s="32" t="s">
        <v>168</v>
      </c>
      <c r="D44" s="32">
        <v>56697</v>
      </c>
      <c r="E44" s="42"/>
      <c r="F44" s="41"/>
    </row>
    <row r="45" ht="39" customHeight="1" spans="1:6">
      <c r="A45" s="34"/>
      <c r="B45" s="32" t="s">
        <v>258</v>
      </c>
      <c r="C45" s="32" t="s">
        <v>259</v>
      </c>
      <c r="D45" s="32">
        <v>34422</v>
      </c>
      <c r="E45" s="42"/>
      <c r="F45" s="41"/>
    </row>
    <row r="46" ht="39" customHeight="1" spans="1:6">
      <c r="A46" s="34"/>
      <c r="B46" s="32" t="s">
        <v>260</v>
      </c>
      <c r="C46" s="32" t="s">
        <v>259</v>
      </c>
      <c r="D46" s="32">
        <v>11514</v>
      </c>
      <c r="E46" s="42"/>
      <c r="F46" s="41"/>
    </row>
    <row r="47" ht="39" customHeight="1" spans="1:6">
      <c r="A47" s="34"/>
      <c r="B47" s="32" t="s">
        <v>261</v>
      </c>
      <c r="C47" s="32" t="s">
        <v>262</v>
      </c>
      <c r="D47" s="32">
        <v>51980</v>
      </c>
      <c r="E47" s="42"/>
      <c r="F47" s="41"/>
    </row>
    <row r="48" ht="39" customHeight="1" spans="1:6">
      <c r="A48" s="35"/>
      <c r="B48" s="8" t="s">
        <v>263</v>
      </c>
      <c r="C48" s="8" t="s">
        <v>264</v>
      </c>
      <c r="D48" s="8">
        <v>4431</v>
      </c>
      <c r="E48" s="42"/>
      <c r="F48" s="41"/>
    </row>
    <row r="49" ht="39" customHeight="1" spans="1:6">
      <c r="A49" s="43" t="s">
        <v>129</v>
      </c>
      <c r="B49" s="32" t="s">
        <v>265</v>
      </c>
      <c r="C49" s="32" t="s">
        <v>266</v>
      </c>
      <c r="D49" s="32">
        <v>14396</v>
      </c>
      <c r="E49" s="42"/>
      <c r="F49" s="41"/>
    </row>
    <row r="50" ht="39" customHeight="1" spans="1:6">
      <c r="A50" s="44"/>
      <c r="B50" s="8" t="s">
        <v>267</v>
      </c>
      <c r="C50" s="8" t="s">
        <v>268</v>
      </c>
      <c r="D50" s="8">
        <v>2875</v>
      </c>
      <c r="E50" s="42"/>
      <c r="F50" s="41"/>
    </row>
    <row r="51" ht="39" customHeight="1" spans="1:6">
      <c r="A51" s="44"/>
      <c r="B51" s="8" t="s">
        <v>269</v>
      </c>
      <c r="C51" s="8" t="s">
        <v>268</v>
      </c>
      <c r="D51" s="8">
        <v>2877</v>
      </c>
      <c r="E51" s="42"/>
      <c r="F51" s="41"/>
    </row>
    <row r="52" ht="39" customHeight="1" spans="1:6">
      <c r="A52" s="44"/>
      <c r="B52" s="8" t="s">
        <v>270</v>
      </c>
      <c r="C52" s="8" t="s">
        <v>268</v>
      </c>
      <c r="D52" s="8">
        <v>19291</v>
      </c>
      <c r="E52" s="42"/>
      <c r="F52" s="41"/>
    </row>
    <row r="53" ht="39" customHeight="1" spans="1:6">
      <c r="A53" s="44"/>
      <c r="B53" s="8" t="s">
        <v>271</v>
      </c>
      <c r="C53" s="8" t="s">
        <v>268</v>
      </c>
      <c r="D53" s="8">
        <v>29995</v>
      </c>
      <c r="E53" s="42"/>
      <c r="F53" s="41"/>
    </row>
    <row r="54" ht="39" customHeight="1" spans="1:6">
      <c r="A54" s="44"/>
      <c r="B54" s="8" t="s">
        <v>272</v>
      </c>
      <c r="C54" s="8" t="s">
        <v>273</v>
      </c>
      <c r="D54" s="8">
        <v>2870</v>
      </c>
      <c r="E54" s="42"/>
      <c r="F54" s="41"/>
    </row>
    <row r="55" ht="39" customHeight="1" spans="1:6">
      <c r="A55" s="44"/>
      <c r="B55" s="8" t="s">
        <v>274</v>
      </c>
      <c r="C55" s="8" t="s">
        <v>273</v>
      </c>
      <c r="D55" s="8">
        <v>2866</v>
      </c>
      <c r="E55" s="42"/>
      <c r="F55" s="41"/>
    </row>
    <row r="56" ht="39" customHeight="1" spans="1:6">
      <c r="A56" s="44"/>
      <c r="B56" s="8" t="s">
        <v>275</v>
      </c>
      <c r="C56" s="8" t="s">
        <v>273</v>
      </c>
      <c r="D56" s="8">
        <v>2868</v>
      </c>
      <c r="E56" s="42"/>
      <c r="F56" s="41"/>
    </row>
    <row r="57" ht="39" customHeight="1" spans="1:6">
      <c r="A57" s="44"/>
      <c r="B57" s="8" t="s">
        <v>276</v>
      </c>
      <c r="C57" s="8" t="s">
        <v>277</v>
      </c>
      <c r="D57" s="8">
        <v>3166</v>
      </c>
      <c r="E57" s="42"/>
      <c r="F57" s="41"/>
    </row>
    <row r="58" ht="39" customHeight="1" spans="1:6">
      <c r="A58" s="44"/>
      <c r="B58" s="8" t="s">
        <v>278</v>
      </c>
      <c r="C58" s="8" t="s">
        <v>277</v>
      </c>
      <c r="D58" s="8">
        <v>2874</v>
      </c>
      <c r="E58" s="42"/>
      <c r="F58" s="41"/>
    </row>
    <row r="59" ht="39" customHeight="1" spans="1:6">
      <c r="A59" s="44"/>
      <c r="B59" s="8" t="s">
        <v>279</v>
      </c>
      <c r="C59" s="8" t="s">
        <v>277</v>
      </c>
      <c r="D59" s="8">
        <v>2879</v>
      </c>
      <c r="E59" s="42"/>
      <c r="F59" s="41"/>
    </row>
    <row r="60" ht="39" customHeight="1" spans="1:6">
      <c r="A60" s="44"/>
      <c r="B60" s="8" t="s">
        <v>280</v>
      </c>
      <c r="C60" s="8" t="s">
        <v>277</v>
      </c>
      <c r="D60" s="8">
        <v>5760</v>
      </c>
      <c r="E60" s="42"/>
      <c r="F60" s="41"/>
    </row>
    <row r="61" ht="39" customHeight="1" spans="1:6">
      <c r="A61" s="44"/>
      <c r="B61" s="8" t="s">
        <v>281</v>
      </c>
      <c r="C61" s="8" t="s">
        <v>277</v>
      </c>
      <c r="D61" s="8">
        <v>934</v>
      </c>
      <c r="E61" s="42"/>
      <c r="F61" s="41"/>
    </row>
    <row r="62" ht="39" customHeight="1" spans="1:6">
      <c r="A62" s="44"/>
      <c r="B62" s="8" t="s">
        <v>282</v>
      </c>
      <c r="C62" s="8" t="s">
        <v>277</v>
      </c>
      <c r="D62" s="8">
        <v>2877</v>
      </c>
      <c r="E62" s="42"/>
      <c r="F62" s="41"/>
    </row>
    <row r="63" ht="39" customHeight="1" spans="1:6">
      <c r="A63" s="44"/>
      <c r="B63" s="8" t="s">
        <v>283</v>
      </c>
      <c r="C63" s="8" t="s">
        <v>284</v>
      </c>
      <c r="D63" s="8">
        <v>5730</v>
      </c>
      <c r="E63" s="42"/>
      <c r="F63" s="41"/>
    </row>
    <row r="64" ht="39" customHeight="1" spans="1:6">
      <c r="A64" s="44"/>
      <c r="B64" s="8" t="s">
        <v>285</v>
      </c>
      <c r="C64" s="8" t="s">
        <v>284</v>
      </c>
      <c r="D64" s="8">
        <v>2879</v>
      </c>
      <c r="E64" s="42"/>
      <c r="F64" s="41"/>
    </row>
    <row r="65" ht="39" customHeight="1" spans="1:6">
      <c r="A65" s="44"/>
      <c r="B65" s="8" t="s">
        <v>286</v>
      </c>
      <c r="C65" s="8" t="s">
        <v>284</v>
      </c>
      <c r="D65" s="8">
        <v>2880</v>
      </c>
      <c r="E65" s="42"/>
      <c r="F65" s="41"/>
    </row>
    <row r="66" ht="39" customHeight="1" spans="1:6">
      <c r="A66" s="44"/>
      <c r="B66" s="8" t="s">
        <v>287</v>
      </c>
      <c r="C66" s="8" t="s">
        <v>288</v>
      </c>
      <c r="D66" s="8">
        <v>5757</v>
      </c>
      <c r="E66" s="45"/>
      <c r="F66" s="41"/>
    </row>
    <row r="67" ht="28" customHeight="1" spans="1:6">
      <c r="B67" s="8"/>
      <c r="C67" s="8"/>
      <c r="D67" s="46">
        <f>SUM(D5:D66)</f>
        <v>1190359</v>
      </c>
    </row>
  </sheetData>
  <mergeCells count="9">
    <mergeCell ref="A1:D1"/>
    <mergeCell ref="A3:A4"/>
    <mergeCell ref="A6:A13"/>
    <mergeCell ref="A14:A17"/>
    <mergeCell ref="A18:A23"/>
    <mergeCell ref="A24:A48"/>
    <mergeCell ref="A49:A66"/>
    <mergeCell ref="E3:E30"/>
    <mergeCell ref="E31:E66"/>
  </mergeCells>
  <hyperlinks>
    <hyperlink ref="B26" r:id="rId1" display="HWE27Q26A0315"/>
    <hyperlink ref="B27" r:id="rId2" display="HWE34Q26A0323"/>
    <hyperlink ref="B28" r:id="rId3" display="HWE37Q26A0319"/>
    <hyperlink ref="B29" r:id="rId4" display="HWE37Q26A0320"/>
    <hyperlink ref="B30" r:id="rId5" display="HWE46Q260235"/>
    <hyperlink ref="B13" r:id="rId6" display="HWE30P26A1132"/>
    <hyperlink ref="B7" r:id="rId7" display="HWE44P26A1089"/>
    <hyperlink ref="D31" r:id="rId8" display="7678"/>
    <hyperlink ref="D32" r:id="rId9" display="557"/>
    <hyperlink ref="D33" r:id="rId10" display="9315"/>
    <hyperlink ref="D34" r:id="rId11" display="19766"/>
    <hyperlink ref="D35" r:id="rId12" display="26838"/>
    <hyperlink ref="D36" r:id="rId13" display="4832"/>
    <hyperlink ref="D37" r:id="rId14" display="15346"/>
    <hyperlink ref="D38" r:id="rId15" display="16562"/>
    <hyperlink ref="D39" r:id="rId16" display="7679"/>
    <hyperlink ref="D40" r:id="rId17" display="4822"/>
    <hyperlink ref="D41" r:id="rId18" display="3840"/>
    <hyperlink ref="D42" r:id="rId19" display="7671"/>
    <hyperlink ref="D43" r:id="rId20" display="23009"/>
    <hyperlink ref="D44" r:id="rId21" display="56697"/>
    <hyperlink ref="D45" r:id="rId22" display="34422"/>
    <hyperlink ref="D46" r:id="rId23" display="11514"/>
    <hyperlink ref="D47" r:id="rId24" display="51980"/>
    <hyperlink ref="D48" r:id="rId25" display="4431"/>
    <hyperlink ref="B31" r:id="rId26" display="SCRUX39Q26A0344"/>
    <hyperlink ref="B32" r:id="rId27" display="SCRUX39Q26A0345"/>
    <hyperlink ref="B33" r:id="rId28" display="SCRUX39Q26A0367"/>
    <hyperlink ref="B34" r:id="rId29" display="SCRUX39Q26A0373"/>
    <hyperlink ref="B35" r:id="rId30" display="RUX46Q26A0294"/>
    <hyperlink ref="B36" r:id="rId31" display="RUX46Q26A0295"/>
    <hyperlink ref="B37" r:id="rId32" display="RUX46Q26A0297"/>
    <hyperlink ref="B38" r:id="rId33" display="RUX46Q26A0300"/>
    <hyperlink ref="B39" r:id="rId34" display="RUX46Q26A0301"/>
    <hyperlink ref="B40" r:id="rId35" display="RUX46Q26A0303"/>
    <hyperlink ref="B41" r:id="rId36" display="SLW31Q260087"/>
    <hyperlink ref="B42" r:id="rId37" display="SLW31Q260092"/>
    <hyperlink ref="B43" r:id="rId38" display="SCSLW45Q26A0351"/>
    <hyperlink ref="B44" r:id="rId39" display="SCSLW45Q26A0352"/>
    <hyperlink ref="B45" r:id="rId5" display="SCSLW33Q26A0354"/>
    <hyperlink ref="B46" r:id="rId6" display="SCSLW33Q26A0355"/>
    <hyperlink ref="B47" r:id="rId7" display="SCSLW28Q26A0378"/>
    <hyperlink ref="B48" r:id="rId40" display="YJE40Q260259"/>
    <hyperlink ref="D49" r:id="rId41" display="14396"/>
    <hyperlink ref="D50" r:id="rId42" display="2875"/>
    <hyperlink ref="D51" r:id="rId43" display="2877"/>
    <hyperlink ref="D52" r:id="rId44" display="19291"/>
    <hyperlink ref="D53" r:id="rId45" display="29995"/>
    <hyperlink ref="D54" r:id="rId46" display="2870"/>
    <hyperlink ref="D55" r:id="rId47" display="2866"/>
    <hyperlink ref="D56" r:id="rId48" display="2868"/>
    <hyperlink ref="D57" r:id="rId49" display="3166"/>
    <hyperlink ref="D58" r:id="rId50" display="2874"/>
    <hyperlink ref="D59" r:id="rId51" display="2879"/>
    <hyperlink ref="D60" r:id="rId52" display="5760"/>
    <hyperlink ref="D61" r:id="rId53" display="934"/>
    <hyperlink ref="D62" r:id="rId54" display="2877"/>
    <hyperlink ref="D63" r:id="rId55" display="5730"/>
    <hyperlink ref="D64" r:id="rId56" display="2879"/>
    <hyperlink ref="D65" r:id="rId57" display="2880"/>
    <hyperlink ref="D66" r:id="rId58" display="5757"/>
    <hyperlink ref="B49" r:id="rId59" display="MCC25F26A0386"/>
    <hyperlink ref="B50" r:id="rId60" display="SLW27F260284"/>
    <hyperlink ref="B51" r:id="rId61" display="SLW27F26A0406"/>
    <hyperlink ref="B52" r:id="rId62" display="SLW27F26A0407"/>
    <hyperlink ref="B53" r:id="rId63" display="SLW27F26A0408"/>
    <hyperlink ref="B54" r:id="rId64" display="SLW42F260292"/>
    <hyperlink ref="B55" r:id="rId65" display="SLW42F260297"/>
    <hyperlink ref="B56" r:id="rId66" display="SLW42F26A0351"/>
    <hyperlink ref="B57" r:id="rId67" display="SCSLW45F26A0465"/>
    <hyperlink ref="B58" r:id="rId68" display="SCSLW45F26A0467"/>
    <hyperlink ref="B59" r:id="rId69" display="SCSLW45F26A0536"/>
    <hyperlink ref="B60" r:id="rId70" display="SCSLW45F26A0537"/>
    <hyperlink ref="B61" r:id="rId71" display="SCSLW45F26A0539"/>
    <hyperlink ref="B62" r:id="rId72" display="SLW45F26A0359"/>
    <hyperlink ref="B63" r:id="rId73" display="SLW19F26A0358"/>
    <hyperlink ref="B64" r:id="rId74" display="SLW19F26A0462"/>
    <hyperlink ref="B65" r:id="rId75" display="SLW19F26A0463"/>
    <hyperlink ref="B66" r:id="rId76" display="SLW41F260281"/>
  </hyperlink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workbookViewId="0">
      <selection activeCell="B10" sqref="B10"/>
    </sheetView>
  </sheetViews>
  <sheetFormatPr defaultColWidth="9.45454545454546" defaultRowHeight="15"/>
  <cols>
    <col min="1" max="1" width="15.6363636363636" style="21" customWidth="1"/>
    <col min="2" max="2" width="23.1818181818182" style="21" customWidth="1"/>
    <col min="3" max="16384" width="9.45454545454546" style="21"/>
  </cols>
  <sheetData>
    <row r="1" s="21" customFormat="1" spans="1:22">
      <c r="A1" s="21" t="s">
        <v>2</v>
      </c>
      <c r="B1" s="21" t="s">
        <v>3</v>
      </c>
      <c r="C1" s="21" t="s">
        <v>289</v>
      </c>
      <c r="D1" s="21" t="s">
        <v>290</v>
      </c>
      <c r="E1" s="21" t="s">
        <v>291</v>
      </c>
      <c r="F1" s="21" t="s">
        <v>292</v>
      </c>
      <c r="G1" s="21" t="s">
        <v>293</v>
      </c>
      <c r="H1" s="21" t="s">
        <v>294</v>
      </c>
      <c r="I1" s="21" t="s">
        <v>295</v>
      </c>
      <c r="J1" s="21" t="s">
        <v>296</v>
      </c>
      <c r="K1" s="21" t="s">
        <v>297</v>
      </c>
      <c r="L1" s="21" t="s">
        <v>298</v>
      </c>
      <c r="M1" s="21" t="s">
        <v>299</v>
      </c>
      <c r="N1" s="21" t="s">
        <v>300</v>
      </c>
      <c r="O1" s="21" t="s">
        <v>301</v>
      </c>
      <c r="P1" s="21" t="s">
        <v>302</v>
      </c>
      <c r="Q1" s="21" t="s">
        <v>303</v>
      </c>
      <c r="R1" s="21" t="s">
        <v>304</v>
      </c>
      <c r="S1" s="21" t="s">
        <v>305</v>
      </c>
      <c r="T1" s="21" t="s">
        <v>306</v>
      </c>
      <c r="U1" s="21" t="s">
        <v>307</v>
      </c>
      <c r="V1" s="21" t="s">
        <v>308</v>
      </c>
    </row>
    <row r="2" s="21" customFormat="1" spans="1:22">
      <c r="A2" s="21" t="s">
        <v>309</v>
      </c>
      <c r="B2" s="21" t="s">
        <v>310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531</v>
      </c>
      <c r="V2" s="21">
        <v>0.9844</v>
      </c>
    </row>
    <row r="3" s="21" customFormat="1" spans="1:22">
      <c r="A3" s="21" t="s">
        <v>311</v>
      </c>
      <c r="B3" s="21" t="s">
        <v>310</v>
      </c>
      <c r="C3" s="21">
        <v>0</v>
      </c>
      <c r="D3" s="21">
        <v>0</v>
      </c>
      <c r="E3" s="21">
        <v>0</v>
      </c>
      <c r="F3" s="21">
        <v>0</v>
      </c>
      <c r="G3" s="21">
        <v>29076</v>
      </c>
      <c r="H3" s="21">
        <v>0</v>
      </c>
      <c r="I3" s="21">
        <v>33600</v>
      </c>
      <c r="J3" s="21">
        <v>0</v>
      </c>
      <c r="K3" s="21">
        <v>5989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 t="s">
        <v>312</v>
      </c>
    </row>
    <row r="4" s="21" customFormat="1" spans="1:22">
      <c r="A4" s="21" t="s">
        <v>313</v>
      </c>
      <c r="B4" s="21" t="s">
        <v>310</v>
      </c>
      <c r="C4" s="21">
        <v>0</v>
      </c>
      <c r="D4" s="21">
        <v>0</v>
      </c>
      <c r="E4" s="21">
        <v>0</v>
      </c>
      <c r="F4" s="21">
        <v>0</v>
      </c>
      <c r="G4" s="21">
        <v>2728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 t="s">
        <v>312</v>
      </c>
    </row>
    <row r="5" s="21" customFormat="1" spans="1:22">
      <c r="A5" s="21" t="s">
        <v>314</v>
      </c>
      <c r="B5" s="21" t="s">
        <v>315</v>
      </c>
      <c r="C5" s="21">
        <v>0</v>
      </c>
      <c r="D5" s="21">
        <v>0</v>
      </c>
      <c r="E5" s="21">
        <v>0</v>
      </c>
      <c r="F5" s="21">
        <v>0</v>
      </c>
      <c r="G5" s="21">
        <v>63075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 t="s">
        <v>312</v>
      </c>
    </row>
    <row r="6" s="21" customFormat="1" spans="1:22">
      <c r="A6" s="21" t="s">
        <v>316</v>
      </c>
      <c r="B6" s="21" t="s">
        <v>315</v>
      </c>
      <c r="C6" s="21">
        <v>0</v>
      </c>
      <c r="D6" s="21">
        <v>0</v>
      </c>
      <c r="E6" s="21">
        <v>0</v>
      </c>
      <c r="F6" s="21">
        <v>0</v>
      </c>
      <c r="G6" s="21">
        <v>2626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 t="s">
        <v>312</v>
      </c>
    </row>
    <row r="7" s="21" customFormat="1" spans="1:22">
      <c r="A7" s="21" t="s">
        <v>317</v>
      </c>
      <c r="B7" s="21" t="s">
        <v>315</v>
      </c>
      <c r="C7" s="21">
        <v>0</v>
      </c>
      <c r="D7" s="21">
        <v>0</v>
      </c>
      <c r="E7" s="21">
        <v>0</v>
      </c>
      <c r="F7" s="21">
        <v>0</v>
      </c>
      <c r="G7" s="21">
        <v>68636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 t="s">
        <v>312</v>
      </c>
    </row>
    <row r="8" s="21" customFormat="1" spans="1:22">
      <c r="A8" s="21" t="s">
        <v>318</v>
      </c>
      <c r="B8" s="21" t="s">
        <v>315</v>
      </c>
      <c r="C8" s="21">
        <v>0</v>
      </c>
      <c r="D8" s="21">
        <v>0</v>
      </c>
      <c r="E8" s="21">
        <v>0</v>
      </c>
      <c r="F8" s="21">
        <v>0</v>
      </c>
      <c r="G8" s="21">
        <v>68483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 t="s">
        <v>312</v>
      </c>
    </row>
    <row r="9" s="21" customFormat="1" spans="1:22">
      <c r="A9" s="21" t="s">
        <v>319</v>
      </c>
      <c r="B9" s="21" t="s">
        <v>315</v>
      </c>
      <c r="C9" s="21">
        <v>0</v>
      </c>
      <c r="D9" s="21">
        <v>0</v>
      </c>
      <c r="E9" s="21">
        <v>0</v>
      </c>
      <c r="F9" s="21">
        <v>0</v>
      </c>
      <c r="G9" s="21">
        <v>55095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 t="s">
        <v>312</v>
      </c>
    </row>
    <row r="10" s="21" customFormat="1" spans="1:22">
      <c r="A10" s="21" t="s">
        <v>320</v>
      </c>
      <c r="B10" s="21" t="s">
        <v>315</v>
      </c>
      <c r="C10" s="21">
        <v>2722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 t="s">
        <v>312</v>
      </c>
    </row>
    <row r="11" s="21" customFormat="1" spans="1:22">
      <c r="A11" s="21" t="s">
        <v>321</v>
      </c>
      <c r="B11" s="21" t="s">
        <v>315</v>
      </c>
      <c r="C11" s="21">
        <v>65847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 t="s">
        <v>312</v>
      </c>
    </row>
    <row r="12" s="21" customFormat="1" spans="1:22">
      <c r="A12" s="21" t="s">
        <v>322</v>
      </c>
      <c r="B12" s="21" t="s">
        <v>315</v>
      </c>
      <c r="C12" s="21">
        <v>2667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 t="s">
        <v>312</v>
      </c>
    </row>
    <row r="13" s="21" customFormat="1" spans="1:22">
      <c r="A13" s="21" t="s">
        <v>323</v>
      </c>
      <c r="B13" s="21" t="s">
        <v>315</v>
      </c>
      <c r="C13" s="21">
        <v>68644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 t="s">
        <v>312</v>
      </c>
    </row>
    <row r="14" s="21" customFormat="1" spans="1:22">
      <c r="A14" s="21" t="s">
        <v>324</v>
      </c>
      <c r="B14" s="21" t="s">
        <v>315</v>
      </c>
      <c r="C14" s="21">
        <v>32938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 t="s">
        <v>312</v>
      </c>
    </row>
    <row r="15" s="21" customFormat="1" spans="1:22">
      <c r="A15" s="21" t="s">
        <v>325</v>
      </c>
      <c r="B15" s="21" t="s">
        <v>315</v>
      </c>
      <c r="C15" s="21">
        <v>35710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 t="s">
        <v>312</v>
      </c>
    </row>
    <row r="16" s="21" customFormat="1" spans="1:22">
      <c r="A16" s="21" t="s">
        <v>326</v>
      </c>
      <c r="B16" s="21" t="s">
        <v>315</v>
      </c>
      <c r="C16" s="21">
        <v>35734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 t="s">
        <v>312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6" sqref="F16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70" zoomScaleNormal="70" topLeftCell="A6" workbookViewId="0">
      <selection activeCell="B14" sqref="B14"/>
    </sheetView>
  </sheetViews>
  <sheetFormatPr defaultColWidth="8.72727272727273" defaultRowHeight="14" outlineLevelCol="5"/>
  <cols>
    <col min="1" max="2" width="27.3727272727273" style="4" customWidth="1"/>
    <col min="3" max="3" width="84.3818181818182" style="4" customWidth="1"/>
    <col min="4" max="4" width="20.7363636363636" style="5" customWidth="1"/>
    <col min="5" max="5" width="23.3090909090909" style="4" customWidth="1"/>
    <col min="6" max="6" width="35.5090909090909" style="4" customWidth="1"/>
    <col min="7" max="16384" width="8.72727272727273" style="4"/>
  </cols>
  <sheetData>
    <row r="1" s="4" customFormat="1" ht="52" customHeight="1" spans="1:6">
      <c r="A1" s="6" t="s">
        <v>327</v>
      </c>
      <c r="B1" s="6"/>
      <c r="C1" s="6"/>
      <c r="D1" s="7"/>
    </row>
    <row r="2" s="4" customFormat="1" ht="42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328</v>
      </c>
    </row>
    <row r="3" s="4" customFormat="1" ht="42" customHeight="1" spans="1:6">
      <c r="A3" s="10"/>
      <c r="B3" s="11"/>
      <c r="C3" s="12" t="s">
        <v>329</v>
      </c>
      <c r="D3" s="10"/>
      <c r="E3" s="12"/>
      <c r="F3" s="9"/>
    </row>
    <row r="4" s="4" customFormat="1" ht="42" customHeight="1" spans="1:6">
      <c r="A4" s="13" t="s">
        <v>330</v>
      </c>
      <c r="B4" s="13"/>
      <c r="C4" s="11"/>
      <c r="D4" s="10"/>
      <c r="E4" s="12"/>
      <c r="F4" s="9"/>
    </row>
    <row r="5" s="4" customFormat="1" ht="42" customHeight="1" spans="1:6">
      <c r="A5" s="14"/>
      <c r="B5" s="14"/>
      <c r="C5" s="15" t="s">
        <v>331</v>
      </c>
      <c r="D5" s="10"/>
      <c r="E5" s="12"/>
      <c r="F5" s="9"/>
    </row>
    <row r="6" s="4" customFormat="1" ht="42" customHeight="1" spans="1:6">
      <c r="A6" s="16" t="s">
        <v>332</v>
      </c>
      <c r="B6" s="16" t="s">
        <v>333</v>
      </c>
      <c r="C6" s="17" t="s">
        <v>334</v>
      </c>
      <c r="D6" s="10"/>
      <c r="E6" s="12"/>
      <c r="F6" s="9"/>
    </row>
    <row r="7" s="4" customFormat="1" ht="42" customHeight="1" spans="1:6">
      <c r="A7" s="18" t="s">
        <v>335</v>
      </c>
      <c r="B7" s="15" t="s">
        <v>207</v>
      </c>
      <c r="C7" s="19" t="s">
        <v>336</v>
      </c>
      <c r="D7" s="10"/>
      <c r="E7" s="12"/>
      <c r="F7" s="9"/>
    </row>
    <row r="8" s="4" customFormat="1" ht="42" customHeight="1" spans="1:6">
      <c r="A8" s="10" t="s">
        <v>335</v>
      </c>
      <c r="B8" s="11" t="s">
        <v>209</v>
      </c>
      <c r="C8" s="12" t="s">
        <v>337</v>
      </c>
      <c r="D8" s="10"/>
      <c r="E8" s="12"/>
      <c r="F8" s="9"/>
    </row>
    <row r="9" s="4" customFormat="1" ht="42" customHeight="1" spans="1:6">
      <c r="A9" s="10" t="s">
        <v>335</v>
      </c>
      <c r="B9" s="11" t="s">
        <v>338</v>
      </c>
      <c r="C9" s="12" t="s">
        <v>339</v>
      </c>
      <c r="D9" s="10"/>
      <c r="E9" s="12"/>
      <c r="F9" s="9"/>
    </row>
    <row r="10" s="4" customFormat="1" ht="42" customHeight="1" spans="1:6">
      <c r="A10" s="13"/>
      <c r="B10" s="11" t="s">
        <v>340</v>
      </c>
      <c r="C10" s="12" t="s">
        <v>341</v>
      </c>
      <c r="D10" s="10"/>
      <c r="E10" s="12"/>
      <c r="F10" s="20"/>
    </row>
  </sheetData>
  <mergeCells count="2">
    <mergeCell ref="A1:D1"/>
    <mergeCell ref="A4:C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10" sqref="C10"/>
    </sheetView>
  </sheetViews>
  <sheetFormatPr defaultColWidth="8.72727272727273" defaultRowHeight="14" outlineLevelRow="2" outlineLevelCol="5"/>
  <cols>
    <col min="2" max="2" width="14.3636363636364" customWidth="1"/>
    <col min="3" max="3" width="22.4545454545455" customWidth="1"/>
    <col min="4" max="4" width="39.7272727272727" customWidth="1"/>
    <col min="5" max="5" width="12.0909090909091" customWidth="1"/>
    <col min="6" max="6" width="14.8181818181818" customWidth="1"/>
  </cols>
  <sheetData>
    <row r="1" ht="31" customHeight="1" spans="1:6">
      <c r="A1" s="1"/>
      <c r="B1" s="1"/>
      <c r="C1" s="1"/>
      <c r="D1" s="1"/>
      <c r="E1" s="1"/>
      <c r="F1" s="2"/>
    </row>
    <row r="2" ht="20" customHeight="1" spans="1:6">
      <c r="A2" s="1"/>
      <c r="B2" s="1"/>
      <c r="C2" s="1"/>
      <c r="D2" s="1"/>
      <c r="E2" s="1"/>
      <c r="F2" s="3"/>
    </row>
    <row r="3" ht="20" customHeight="1" spans="1:6">
      <c r="A3" s="1"/>
      <c r="B3" s="1"/>
      <c r="C3" s="1"/>
      <c r="D3" s="1"/>
      <c r="E3" s="1"/>
      <c r="F3" s="3"/>
    </row>
  </sheetData>
  <mergeCells count="1">
    <mergeCell ref="F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7-13</vt:lpstr>
      <vt:lpstr>7-14</vt:lpstr>
      <vt:lpstr>7-15</vt:lpstr>
      <vt:lpstr>7-16</vt:lpstr>
      <vt:lpstr>7-18</vt:lpstr>
      <vt:lpstr>8-3</vt:lpstr>
      <vt:lpstr>8-29</vt:lpstr>
      <vt:lpstr>Sheet2</vt:lpstr>
      <vt:lpstr>Sheet3</vt:lpstr>
      <vt:lpstr>Sheet1</vt:lpstr>
      <vt:lpstr>电镀样品8-5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99159</dc:creator>
  <cp:lastModifiedBy>时光未老</cp:lastModifiedBy>
  <dcterms:created xsi:type="dcterms:W3CDTF">2025-07-12T09:43:00Z</dcterms:created>
  <dcterms:modified xsi:type="dcterms:W3CDTF">2026-08-29T02:14:04Z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ADF5C64AF7734F1D91AA1CA3E0C92E1F_11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